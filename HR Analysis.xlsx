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slicers/slicer2.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ENNY\Documents\"/>
    </mc:Choice>
  </mc:AlternateContent>
  <xr:revisionPtr revIDLastSave="0" documentId="8_{F391582D-16DB-48CF-B272-6EDA95210F65}" xr6:coauthVersionLast="47" xr6:coauthVersionMax="47" xr10:uidLastSave="{00000000-0000-0000-0000-000000000000}"/>
  <bookViews>
    <workbookView xWindow="9720" yWindow="2865" windowWidth="18795" windowHeight="9135" xr2:uid="{49A56BB1-9B9A-43DF-AC13-6712B14ECD02}"/>
  </bookViews>
  <sheets>
    <sheet name="pivot table 2" sheetId="9" r:id="rId1"/>
    <sheet name="pivot table 1" sheetId="14" r:id="rId2"/>
    <sheet name="HR Analysis" sheetId="1" r:id="rId3"/>
    <sheet name="Dashboard" sheetId="13" r:id="rId4"/>
  </sheets>
  <definedNames>
    <definedName name="_xlnm._FilterDatabase" localSheetId="2" hidden="1">'HR Analysis'!$A$1:$T$1</definedName>
    <definedName name="Slicer_Attrition">#N/A</definedName>
    <definedName name="Slicer_Department">#N/A</definedName>
    <definedName name="Slicer_JobRol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2" i="1"/>
  <c r="E2" i="1"/>
  <c r="D2" i="1"/>
  <c r="N2" i="1"/>
</calcChain>
</file>

<file path=xl/sharedStrings.xml><?xml version="1.0" encoding="utf-8"?>
<sst xmlns="http://schemas.openxmlformats.org/spreadsheetml/2006/main" count="8900" uniqueCount="57">
  <si>
    <t>Age</t>
  </si>
  <si>
    <t>Attrition</t>
  </si>
  <si>
    <t>BusinessTravel</t>
  </si>
  <si>
    <t>DailyRate</t>
  </si>
  <si>
    <t>Department</t>
  </si>
  <si>
    <t>DistanceFromHome</t>
  </si>
  <si>
    <t>Education</t>
  </si>
  <si>
    <t>EducationField</t>
  </si>
  <si>
    <t>EmployeeCount</t>
  </si>
  <si>
    <t>EmployeeNumber</t>
  </si>
  <si>
    <t>EnvironmentSatisfaction</t>
  </si>
  <si>
    <t>JobLevel</t>
  </si>
  <si>
    <t>JobRole</t>
  </si>
  <si>
    <t>JobSatisfaction</t>
  </si>
  <si>
    <t>MonthlyIncome</t>
  </si>
  <si>
    <t>OverTime</t>
  </si>
  <si>
    <t>Yes</t>
  </si>
  <si>
    <t>Travel_Rarely</t>
  </si>
  <si>
    <t>Sales</t>
  </si>
  <si>
    <t>Life Sciences</t>
  </si>
  <si>
    <t>Sales Executive</t>
  </si>
  <si>
    <t>No</t>
  </si>
  <si>
    <t>Travel_Frequently</t>
  </si>
  <si>
    <t>Research &amp; Development</t>
  </si>
  <si>
    <t>Research Scientist</t>
  </si>
  <si>
    <t>Other</t>
  </si>
  <si>
    <t>Laboratory Technician</t>
  </si>
  <si>
    <t>Medical</t>
  </si>
  <si>
    <t>Manufacturing Director</t>
  </si>
  <si>
    <t>Healthcare Representative</t>
  </si>
  <si>
    <t>Non-Travel</t>
  </si>
  <si>
    <t>Manager</t>
  </si>
  <si>
    <t>Sales Representative</t>
  </si>
  <si>
    <t>Research Director</t>
  </si>
  <si>
    <t>Marketing</t>
  </si>
  <si>
    <t>Technical Degree</t>
  </si>
  <si>
    <t>Human Resources</t>
  </si>
  <si>
    <t>Sum of EmployeeNumber</t>
  </si>
  <si>
    <t>Row Labels</t>
  </si>
  <si>
    <t>Grand Total</t>
  </si>
  <si>
    <t>Attrition Rate</t>
  </si>
  <si>
    <t>Total Employees</t>
  </si>
  <si>
    <t>Attrition Count</t>
  </si>
  <si>
    <t>(All)</t>
  </si>
  <si>
    <t>Column Labels</t>
  </si>
  <si>
    <t>Sum of EmployeeCount</t>
  </si>
  <si>
    <t>Age Group</t>
  </si>
  <si>
    <t>Education Field</t>
  </si>
  <si>
    <t>Job Satisfaction</t>
  </si>
  <si>
    <t>Sum of EmployeeNumber2</t>
  </si>
  <si>
    <t>18-24</t>
  </si>
  <si>
    <t>25-34</t>
  </si>
  <si>
    <t>35-44</t>
  </si>
  <si>
    <t>45-54</t>
  </si>
  <si>
    <t>55+</t>
  </si>
  <si>
    <t>Sum of Employee</t>
  </si>
  <si>
    <t>(Multiple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</si>
</sst>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tint="0.499984740745262"/>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0" fillId="0" borderId="0" xfId="0" pivotButton="1"/>
    <xf numFmtId="0" fontId="0" fillId="0" borderId="0" xfId="0" applyAlignment="1">
      <alignment horizontal="left"/>
    </xf>
    <xf numFmtId="9" fontId="0" fillId="0" borderId="0" xfId="1" applyFont="1"/>
    <xf numFmtId="0" fontId="18" fillId="33" borderId="0" xfId="0" applyFont="1"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 cent" xfId="1" builtinId="5"/>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colors>
    <mruColors>
      <color rgb="FF3F3F3F"/>
      <color rgb="FFF5F5F5"/>
      <color rgb="FFFF7D7D"/>
      <color rgb="FF303B4A"/>
      <color rgb="FF222B3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Analysis.xlsx]pivot table 2!PivotTable18</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2'!$B$39</c:f>
              <c:strCache>
                <c:ptCount val="1"/>
                <c:pt idx="0">
                  <c:v>Total</c:v>
                </c:pt>
              </c:strCache>
            </c:strRef>
          </c:tx>
          <c:spPr>
            <a:solidFill>
              <a:schemeClr val="accent1"/>
            </a:solidFill>
            <a:ln>
              <a:noFill/>
            </a:ln>
            <a:effectLst/>
          </c:spPr>
          <c:invertIfNegative val="0"/>
          <c:cat>
            <c:strRef>
              <c:f>'pivot table 2'!$A$40:$A$45</c:f>
              <c:strCache>
                <c:ptCount val="5"/>
                <c:pt idx="0">
                  <c:v>18-24</c:v>
                </c:pt>
                <c:pt idx="1">
                  <c:v>25-34</c:v>
                </c:pt>
                <c:pt idx="2">
                  <c:v>35-44</c:v>
                </c:pt>
                <c:pt idx="3">
                  <c:v>45-54</c:v>
                </c:pt>
                <c:pt idx="4">
                  <c:v>55+</c:v>
                </c:pt>
              </c:strCache>
            </c:strRef>
          </c:cat>
          <c:val>
            <c:numRef>
              <c:f>'pivot table 2'!$B$40:$B$45</c:f>
              <c:numCache>
                <c:formatCode>General</c:formatCode>
                <c:ptCount val="5"/>
                <c:pt idx="0">
                  <c:v>65629</c:v>
                </c:pt>
                <c:pt idx="1">
                  <c:v>346603</c:v>
                </c:pt>
                <c:pt idx="2">
                  <c:v>353273</c:v>
                </c:pt>
                <c:pt idx="3">
                  <c:v>155498</c:v>
                </c:pt>
                <c:pt idx="4">
                  <c:v>46247</c:v>
                </c:pt>
              </c:numCache>
            </c:numRef>
          </c:val>
          <c:extLst>
            <c:ext xmlns:c16="http://schemas.microsoft.com/office/drawing/2014/chart" uri="{C3380CC4-5D6E-409C-BE32-E72D297353CC}">
              <c16:uniqueId val="{00000000-C3F3-4547-9D43-34C3F01C8387}"/>
            </c:ext>
          </c:extLst>
        </c:ser>
        <c:dLbls>
          <c:showLegendKey val="0"/>
          <c:showVal val="0"/>
          <c:showCatName val="0"/>
          <c:showSerName val="0"/>
          <c:showPercent val="0"/>
          <c:showBubbleSize val="0"/>
        </c:dLbls>
        <c:gapWidth val="219"/>
        <c:overlap val="-27"/>
        <c:axId val="1835870032"/>
        <c:axId val="1835870512"/>
      </c:barChart>
      <c:catAx>
        <c:axId val="1835870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35870512"/>
        <c:crosses val="autoZero"/>
        <c:auto val="1"/>
        <c:lblAlgn val="ctr"/>
        <c:lblOffset val="100"/>
        <c:noMultiLvlLbl val="0"/>
      </c:catAx>
      <c:valAx>
        <c:axId val="1835870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35870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Analysis.xlsx]pivot table 2!PivotTable13</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2'!$B$3</c:f>
              <c:strCache>
                <c:ptCount val="1"/>
                <c:pt idx="0">
                  <c:v>Total</c:v>
                </c:pt>
              </c:strCache>
            </c:strRef>
          </c:tx>
          <c:spPr>
            <a:solidFill>
              <a:schemeClr val="accent1"/>
            </a:solidFill>
            <a:ln>
              <a:noFill/>
            </a:ln>
            <a:effectLst/>
          </c:spPr>
          <c:invertIfNegative val="0"/>
          <c:cat>
            <c:strRef>
              <c:f>'pivot table 2'!$A$4:$A$8</c:f>
              <c:strCache>
                <c:ptCount val="4"/>
                <c:pt idx="0">
                  <c:v>1</c:v>
                </c:pt>
                <c:pt idx="1">
                  <c:v>2</c:v>
                </c:pt>
                <c:pt idx="2">
                  <c:v>3</c:v>
                </c:pt>
                <c:pt idx="3">
                  <c:v>4</c:v>
                </c:pt>
              </c:strCache>
            </c:strRef>
          </c:cat>
          <c:val>
            <c:numRef>
              <c:f>'pivot table 2'!$B$4:$B$8</c:f>
              <c:numCache>
                <c:formatCode>General</c:formatCode>
                <c:ptCount val="4"/>
                <c:pt idx="0">
                  <c:v>27332</c:v>
                </c:pt>
                <c:pt idx="1">
                  <c:v>20640</c:v>
                </c:pt>
                <c:pt idx="2">
                  <c:v>51600</c:v>
                </c:pt>
                <c:pt idx="3">
                  <c:v>41225</c:v>
                </c:pt>
              </c:numCache>
            </c:numRef>
          </c:val>
          <c:extLst>
            <c:ext xmlns:c16="http://schemas.microsoft.com/office/drawing/2014/chart" uri="{C3380CC4-5D6E-409C-BE32-E72D297353CC}">
              <c16:uniqueId val="{00000000-5B21-4BA7-8911-A485D1C45D30}"/>
            </c:ext>
          </c:extLst>
        </c:ser>
        <c:dLbls>
          <c:showLegendKey val="0"/>
          <c:showVal val="0"/>
          <c:showCatName val="0"/>
          <c:showSerName val="0"/>
          <c:showPercent val="0"/>
          <c:showBubbleSize val="0"/>
        </c:dLbls>
        <c:gapWidth val="219"/>
        <c:overlap val="-27"/>
        <c:axId val="1835894032"/>
        <c:axId val="1835875792"/>
      </c:barChart>
      <c:catAx>
        <c:axId val="1835894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35875792"/>
        <c:crosses val="autoZero"/>
        <c:auto val="1"/>
        <c:lblAlgn val="ctr"/>
        <c:lblOffset val="100"/>
        <c:noMultiLvlLbl val="0"/>
      </c:catAx>
      <c:valAx>
        <c:axId val="18358757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35894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Analysis.xlsx]pivot table 2!PivotTable14</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2'!$B$16</c:f>
              <c:strCache>
                <c:ptCount val="1"/>
                <c:pt idx="0">
                  <c:v>Total</c:v>
                </c:pt>
              </c:strCache>
            </c:strRef>
          </c:tx>
          <c:spPr>
            <a:solidFill>
              <a:schemeClr val="accent1"/>
            </a:solidFill>
            <a:ln>
              <a:noFill/>
            </a:ln>
            <a:effectLst/>
          </c:spPr>
          <c:invertIfNegative val="0"/>
          <c:cat>
            <c:strRef>
              <c:f>'pivot table 2'!$A$17:$A$21</c:f>
              <c:strCache>
                <c:ptCount val="4"/>
                <c:pt idx="0">
                  <c:v>Life Sciences</c:v>
                </c:pt>
                <c:pt idx="1">
                  <c:v>Medical</c:v>
                </c:pt>
                <c:pt idx="2">
                  <c:v>Other</c:v>
                </c:pt>
                <c:pt idx="3">
                  <c:v>Technical Degree</c:v>
                </c:pt>
              </c:strCache>
            </c:strRef>
          </c:cat>
          <c:val>
            <c:numRef>
              <c:f>'pivot table 2'!$B$17:$B$21</c:f>
              <c:numCache>
                <c:formatCode>General</c:formatCode>
                <c:ptCount val="4"/>
                <c:pt idx="0">
                  <c:v>56514</c:v>
                </c:pt>
                <c:pt idx="1">
                  <c:v>44452</c:v>
                </c:pt>
                <c:pt idx="2">
                  <c:v>5644</c:v>
                </c:pt>
                <c:pt idx="3">
                  <c:v>19706</c:v>
                </c:pt>
              </c:numCache>
            </c:numRef>
          </c:val>
          <c:extLst>
            <c:ext xmlns:c16="http://schemas.microsoft.com/office/drawing/2014/chart" uri="{C3380CC4-5D6E-409C-BE32-E72D297353CC}">
              <c16:uniqueId val="{00000000-71DB-42AE-81DE-5778834C2356}"/>
            </c:ext>
          </c:extLst>
        </c:ser>
        <c:dLbls>
          <c:showLegendKey val="0"/>
          <c:showVal val="0"/>
          <c:showCatName val="0"/>
          <c:showSerName val="0"/>
          <c:showPercent val="0"/>
          <c:showBubbleSize val="0"/>
        </c:dLbls>
        <c:gapWidth val="182"/>
        <c:axId val="160320432"/>
        <c:axId val="160317072"/>
      </c:barChart>
      <c:catAx>
        <c:axId val="1603204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60317072"/>
        <c:crosses val="autoZero"/>
        <c:auto val="1"/>
        <c:lblAlgn val="ctr"/>
        <c:lblOffset val="100"/>
        <c:noMultiLvlLbl val="0"/>
      </c:catAx>
      <c:valAx>
        <c:axId val="1603170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60320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[HR Analysis.xlsx]pivot table 2!PivotTable15</c:name>
    <c:fmtId val="5"/>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hade val="76000"/>
            </a:schemeClr>
          </a:solidFill>
          <a:ln>
            <a:noFill/>
          </a:ln>
          <a:effectLst>
            <a:outerShdw blurRad="254000" sx="102000" sy="102000" algn="ctr" rotWithShape="0">
              <a:prstClr val="black">
                <a:alpha val="20000"/>
              </a:prstClr>
            </a:outerShdw>
          </a:effectLst>
        </c:spPr>
      </c:pivotFmt>
      <c:pivotFmt>
        <c:idx val="2"/>
        <c:spPr>
          <a:solidFill>
            <a:schemeClr val="accent1">
              <a:tint val="77000"/>
            </a:schemeClr>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 table 2'!$B$30</c:f>
              <c:strCache>
                <c:ptCount val="1"/>
                <c:pt idx="0">
                  <c:v>Total</c:v>
                </c:pt>
              </c:strCache>
            </c:strRef>
          </c:tx>
          <c:dPt>
            <c:idx val="0"/>
            <c:bubble3D val="0"/>
            <c:spPr>
              <a:solidFill>
                <a:schemeClr val="accent1">
                  <a:shade val="7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24A-41DC-9B39-37A90111EA8F}"/>
              </c:ext>
            </c:extLst>
          </c:dPt>
          <c:dPt>
            <c:idx val="1"/>
            <c:bubble3D val="0"/>
            <c:spPr>
              <a:solidFill>
                <a:schemeClr val="accent1">
                  <a:tint val="77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24A-41DC-9B39-37A90111EA8F}"/>
              </c:ext>
            </c:extLst>
          </c:dPt>
          <c:cat>
            <c:strRef>
              <c:f>'pivot table 2'!$A$31:$A$33</c:f>
              <c:strCache>
                <c:ptCount val="2"/>
                <c:pt idx="0">
                  <c:v>No</c:v>
                </c:pt>
                <c:pt idx="1">
                  <c:v>Yes</c:v>
                </c:pt>
              </c:strCache>
            </c:strRef>
          </c:cat>
          <c:val>
            <c:numRef>
              <c:f>'pivot table 2'!$B$31:$B$33</c:f>
              <c:numCache>
                <c:formatCode>General</c:formatCode>
                <c:ptCount val="2"/>
                <c:pt idx="0">
                  <c:v>840934</c:v>
                </c:pt>
                <c:pt idx="1">
                  <c:v>126316</c:v>
                </c:pt>
              </c:numCache>
            </c:numRef>
          </c:val>
          <c:extLst>
            <c:ext xmlns:c16="http://schemas.microsoft.com/office/drawing/2014/chart" uri="{C3380CC4-5D6E-409C-BE32-E72D297353CC}">
              <c16:uniqueId val="{00000000-D33F-487B-AF95-ACC4D3634EFE}"/>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Analysis.xlsx]pivot table 1!PivotTable3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Attriton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1'!$B$16</c:f>
              <c:strCache>
                <c:ptCount val="1"/>
                <c:pt idx="0">
                  <c:v>Total</c:v>
                </c:pt>
              </c:strCache>
            </c:strRef>
          </c:tx>
          <c:spPr>
            <a:solidFill>
              <a:schemeClr val="accent1"/>
            </a:solidFill>
            <a:ln>
              <a:noFill/>
            </a:ln>
            <a:effectLst/>
          </c:spPr>
          <c:invertIfNegative val="0"/>
          <c:cat>
            <c:strRef>
              <c:f>'pivot table 1'!$A$17:$A$22</c:f>
              <c:strCache>
                <c:ptCount val="5"/>
                <c:pt idx="0">
                  <c:v>18-24</c:v>
                </c:pt>
                <c:pt idx="1">
                  <c:v>25-34</c:v>
                </c:pt>
                <c:pt idx="2">
                  <c:v>35-44</c:v>
                </c:pt>
                <c:pt idx="3">
                  <c:v>45-54</c:v>
                </c:pt>
                <c:pt idx="4">
                  <c:v>55+</c:v>
                </c:pt>
              </c:strCache>
            </c:strRef>
          </c:cat>
          <c:val>
            <c:numRef>
              <c:f>'pivot table 1'!$B$17:$B$22</c:f>
              <c:numCache>
                <c:formatCode>General</c:formatCode>
                <c:ptCount val="5"/>
                <c:pt idx="0">
                  <c:v>97</c:v>
                </c:pt>
                <c:pt idx="1">
                  <c:v>554</c:v>
                </c:pt>
                <c:pt idx="2">
                  <c:v>505</c:v>
                </c:pt>
                <c:pt idx="3">
                  <c:v>245</c:v>
                </c:pt>
                <c:pt idx="4">
                  <c:v>69</c:v>
                </c:pt>
              </c:numCache>
            </c:numRef>
          </c:val>
          <c:extLst>
            <c:ext xmlns:c16="http://schemas.microsoft.com/office/drawing/2014/chart" uri="{C3380CC4-5D6E-409C-BE32-E72D297353CC}">
              <c16:uniqueId val="{00000000-0CCB-4798-A396-27073E94213D}"/>
            </c:ext>
          </c:extLst>
        </c:ser>
        <c:dLbls>
          <c:showLegendKey val="0"/>
          <c:showVal val="0"/>
          <c:showCatName val="0"/>
          <c:showSerName val="0"/>
          <c:showPercent val="0"/>
          <c:showBubbleSize val="0"/>
        </c:dLbls>
        <c:gapWidth val="219"/>
        <c:overlap val="-27"/>
        <c:axId val="955361344"/>
        <c:axId val="955352704"/>
      </c:barChart>
      <c:catAx>
        <c:axId val="95536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55352704"/>
        <c:crosses val="autoZero"/>
        <c:auto val="1"/>
        <c:lblAlgn val="ctr"/>
        <c:lblOffset val="100"/>
        <c:noMultiLvlLbl val="0"/>
      </c:catAx>
      <c:valAx>
        <c:axId val="9553527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5536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Analysis.xlsx]pivot table 1!PivotTable2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1'!$B$3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1'!$A$4:$A$7</c:f>
              <c:strCache>
                <c:ptCount val="3"/>
                <c:pt idx="0">
                  <c:v>Human Resources</c:v>
                </c:pt>
                <c:pt idx="1">
                  <c:v>Research &amp; Development</c:v>
                </c:pt>
                <c:pt idx="2">
                  <c:v>Sales</c:v>
                </c:pt>
              </c:strCache>
            </c:strRef>
          </c:cat>
          <c:val>
            <c:numRef>
              <c:f>'pivot table 1'!$B$4:$B$7</c:f>
              <c:numCache>
                <c:formatCode>General</c:formatCode>
                <c:ptCount val="3"/>
                <c:pt idx="0">
                  <c:v>63</c:v>
                </c:pt>
                <c:pt idx="1">
                  <c:v>961</c:v>
                </c:pt>
                <c:pt idx="2">
                  <c:v>446</c:v>
                </c:pt>
              </c:numCache>
            </c:numRef>
          </c:val>
          <c:extLst>
            <c:ext xmlns:c16="http://schemas.microsoft.com/office/drawing/2014/chart" uri="{C3380CC4-5D6E-409C-BE32-E72D297353CC}">
              <c16:uniqueId val="{00000000-157E-4087-A848-BEE303176CBA}"/>
            </c:ext>
          </c:extLst>
        </c:ser>
        <c:dLbls>
          <c:dLblPos val="outEnd"/>
          <c:showLegendKey val="0"/>
          <c:showVal val="1"/>
          <c:showCatName val="0"/>
          <c:showSerName val="0"/>
          <c:showPercent val="0"/>
          <c:showBubbleSize val="0"/>
        </c:dLbls>
        <c:gapWidth val="219"/>
        <c:overlap val="-27"/>
        <c:axId val="955365664"/>
        <c:axId val="955360864"/>
      </c:barChart>
      <c:catAx>
        <c:axId val="95536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55360864"/>
        <c:crosses val="autoZero"/>
        <c:auto val="1"/>
        <c:lblAlgn val="ctr"/>
        <c:lblOffset val="100"/>
        <c:noMultiLvlLbl val="0"/>
      </c:catAx>
      <c:valAx>
        <c:axId val="9553608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55365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5"/>
              <c:pt idx="0">
                <c:v>5</c:v>
              </c:pt>
              <c:pt idx="1">
                <c:v>4</c:v>
              </c:pt>
              <c:pt idx="2">
                <c:v>3</c:v>
              </c:pt>
              <c:pt idx="3">
                <c:v>2</c:v>
              </c:pt>
              <c:pt idx="4">
                <c:v>1</c:v>
              </c:pt>
            </c:strLit>
          </c:cat>
          <c:val>
            <c:numLit>
              <c:formatCode>General</c:formatCode>
              <c:ptCount val="5"/>
              <c:pt idx="0">
                <c:v>1670</c:v>
              </c:pt>
              <c:pt idx="1">
                <c:v>1127</c:v>
              </c:pt>
              <c:pt idx="2">
                <c:v>10484</c:v>
              </c:pt>
              <c:pt idx="3">
                <c:v>16363</c:v>
              </c:pt>
              <c:pt idx="4">
                <c:v>96672</c:v>
              </c:pt>
            </c:numLit>
          </c:val>
          <c:extLst>
            <c:ext xmlns:c16="http://schemas.microsoft.com/office/drawing/2014/chart" uri="{C3380CC4-5D6E-409C-BE32-E72D297353CC}">
              <c16:uniqueId val="{00000000-048D-4CD6-8981-3AC636EB8A7E}"/>
            </c:ext>
          </c:extLst>
        </c:ser>
        <c:dLbls>
          <c:showLegendKey val="0"/>
          <c:showVal val="0"/>
          <c:showCatName val="0"/>
          <c:showSerName val="0"/>
          <c:showPercent val="0"/>
          <c:showBubbleSize val="0"/>
        </c:dLbls>
        <c:gapWidth val="182"/>
        <c:axId val="1835871472"/>
        <c:axId val="1835859472"/>
      </c:barChart>
      <c:catAx>
        <c:axId val="18358714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35859472"/>
        <c:crosses val="autoZero"/>
        <c:auto val="1"/>
        <c:lblAlgn val="ctr"/>
        <c:lblOffset val="100"/>
        <c:noMultiLvlLbl val="0"/>
      </c:catAx>
      <c:valAx>
        <c:axId val="18358594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35871472"/>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202537182852143"/>
          <c:y val="0.15175707203266259"/>
          <c:w val="0.69380796150481194"/>
          <c:h val="0.65890128317293672"/>
        </c:manualLayout>
      </c:layout>
      <c:barChart>
        <c:barDir val="col"/>
        <c:grouping val="stacked"/>
        <c:varyColors val="0"/>
        <c:ser>
          <c:idx val="0"/>
          <c:order val="0"/>
          <c:tx>
            <c:v>No</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2"/>
              <c:pt idx="0">
                <c:v>No</c:v>
              </c:pt>
              <c:pt idx="1">
                <c:v>Yes</c:v>
              </c:pt>
            </c:strLit>
          </c:cat>
          <c:val>
            <c:numLit>
              <c:formatCode>General</c:formatCode>
              <c:ptCount val="2"/>
              <c:pt idx="0">
                <c:v>645058</c:v>
              </c:pt>
              <c:pt idx="1">
                <c:v>195876</c:v>
              </c:pt>
            </c:numLit>
          </c:val>
          <c:extLst>
            <c:ext xmlns:c16="http://schemas.microsoft.com/office/drawing/2014/chart" uri="{C3380CC4-5D6E-409C-BE32-E72D297353CC}">
              <c16:uniqueId val="{00000000-0EFA-4ACA-8ADD-EC7D3B9FDB5F}"/>
            </c:ext>
          </c:extLst>
        </c:ser>
        <c:ser>
          <c:idx val="1"/>
          <c:order val="1"/>
          <c:tx>
            <c:v>Yes</c:v>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2"/>
              <c:pt idx="0">
                <c:v>No</c:v>
              </c:pt>
              <c:pt idx="1">
                <c:v>Yes</c:v>
              </c:pt>
            </c:strLit>
          </c:cat>
          <c:val>
            <c:numLit>
              <c:formatCode>General</c:formatCode>
              <c:ptCount val="2"/>
              <c:pt idx="0">
                <c:v>59117</c:v>
              </c:pt>
              <c:pt idx="1">
                <c:v>67199</c:v>
              </c:pt>
            </c:numLit>
          </c:val>
          <c:extLst>
            <c:ext xmlns:c16="http://schemas.microsoft.com/office/drawing/2014/chart" uri="{C3380CC4-5D6E-409C-BE32-E72D297353CC}">
              <c16:uniqueId val="{00000001-0EFA-4ACA-8ADD-EC7D3B9FDB5F}"/>
            </c:ext>
          </c:extLst>
        </c:ser>
        <c:dLbls>
          <c:dLblPos val="ctr"/>
          <c:showLegendKey val="0"/>
          <c:showVal val="1"/>
          <c:showCatName val="0"/>
          <c:showSerName val="0"/>
          <c:showPercent val="0"/>
          <c:showBubbleSize val="0"/>
        </c:dLbls>
        <c:gapWidth val="79"/>
        <c:overlap val="100"/>
        <c:axId val="1824635328"/>
        <c:axId val="1824646368"/>
      </c:barChart>
      <c:catAx>
        <c:axId val="1824635328"/>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NG"/>
          </a:p>
        </c:txPr>
        <c:crossAx val="1824646368"/>
        <c:crosses val="autoZero"/>
        <c:auto val="1"/>
        <c:lblAlgn val="ctr"/>
        <c:lblOffset val="100"/>
        <c:noMultiLvlLbl val="0"/>
      </c:catAx>
      <c:valAx>
        <c:axId val="1824646368"/>
        <c:scaling>
          <c:orientation val="minMax"/>
        </c:scaling>
        <c:delete val="1"/>
        <c:axPos val="l"/>
        <c:numFmt formatCode="General" sourceLinked="1"/>
        <c:majorTickMark val="none"/>
        <c:minorTickMark val="none"/>
        <c:tickLblPos val="nextTo"/>
        <c:crossAx val="1824635328"/>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5"/>
              <c:pt idx="0">
                <c:v>5</c:v>
              </c:pt>
              <c:pt idx="1">
                <c:v>4</c:v>
              </c:pt>
              <c:pt idx="2">
                <c:v>3</c:v>
              </c:pt>
              <c:pt idx="3">
                <c:v>2</c:v>
              </c:pt>
              <c:pt idx="4">
                <c:v>1</c:v>
              </c:pt>
            </c:strLit>
          </c:cat>
          <c:val>
            <c:numLit>
              <c:formatCode>General</c:formatCode>
              <c:ptCount val="5"/>
              <c:pt idx="0">
                <c:v>1670</c:v>
              </c:pt>
              <c:pt idx="1">
                <c:v>1127</c:v>
              </c:pt>
              <c:pt idx="2">
                <c:v>10484</c:v>
              </c:pt>
              <c:pt idx="3">
                <c:v>16363</c:v>
              </c:pt>
              <c:pt idx="4">
                <c:v>96672</c:v>
              </c:pt>
            </c:numLit>
          </c:val>
          <c:extLst>
            <c:ext xmlns:c16="http://schemas.microsoft.com/office/drawing/2014/chart" uri="{C3380CC4-5D6E-409C-BE32-E72D297353CC}">
              <c16:uniqueId val="{00000000-B87D-45BE-B73C-1E01FE4BBA4F}"/>
            </c:ext>
          </c:extLst>
        </c:ser>
        <c:dLbls>
          <c:showLegendKey val="0"/>
          <c:showVal val="0"/>
          <c:showCatName val="0"/>
          <c:showSerName val="0"/>
          <c:showPercent val="0"/>
          <c:showBubbleSize val="0"/>
        </c:dLbls>
        <c:gapWidth val="182"/>
        <c:axId val="1835871472"/>
        <c:axId val="1835859472"/>
      </c:barChart>
      <c:catAx>
        <c:axId val="18358714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35859472"/>
        <c:crosses val="autoZero"/>
        <c:auto val="1"/>
        <c:lblAlgn val="ctr"/>
        <c:lblOffset val="100"/>
        <c:noMultiLvlLbl val="0"/>
      </c:catAx>
      <c:valAx>
        <c:axId val="18358594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35871472"/>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202537182852143"/>
          <c:y val="0.15175707203266259"/>
          <c:w val="0.69380796150481194"/>
          <c:h val="0.65890128317293672"/>
        </c:manualLayout>
      </c:layout>
      <c:barChart>
        <c:barDir val="col"/>
        <c:grouping val="stacked"/>
        <c:varyColors val="0"/>
        <c:ser>
          <c:idx val="0"/>
          <c:order val="0"/>
          <c:tx>
            <c:v>Series1</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2"/>
              <c:pt idx="0">
                <c:v>No</c:v>
              </c:pt>
              <c:pt idx="1">
                <c:v>Yes</c:v>
              </c:pt>
            </c:strLit>
          </c:cat>
          <c:val>
            <c:numLit>
              <c:formatCode>General</c:formatCode>
              <c:ptCount val="2"/>
              <c:pt idx="0">
                <c:v>645058</c:v>
              </c:pt>
              <c:pt idx="1">
                <c:v>195876</c:v>
              </c:pt>
            </c:numLit>
          </c:val>
          <c:extLst>
            <c:ext xmlns:c16="http://schemas.microsoft.com/office/drawing/2014/chart" uri="{C3380CC4-5D6E-409C-BE32-E72D297353CC}">
              <c16:uniqueId val="{00000000-FD0A-45CD-836E-CDAF8AE2CE2E}"/>
            </c:ext>
          </c:extLst>
        </c:ser>
        <c:ser>
          <c:idx val="1"/>
          <c:order val="1"/>
          <c:tx>
            <c:v>Series2</c:v>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N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2"/>
              <c:pt idx="0">
                <c:v>No</c:v>
              </c:pt>
              <c:pt idx="1">
                <c:v>Yes</c:v>
              </c:pt>
            </c:strLit>
          </c:cat>
          <c:val>
            <c:numLit>
              <c:formatCode>General</c:formatCode>
              <c:ptCount val="2"/>
              <c:pt idx="0">
                <c:v>59117</c:v>
              </c:pt>
              <c:pt idx="1">
                <c:v>67199</c:v>
              </c:pt>
            </c:numLit>
          </c:val>
          <c:extLst>
            <c:ext xmlns:c16="http://schemas.microsoft.com/office/drawing/2014/chart" uri="{C3380CC4-5D6E-409C-BE32-E72D297353CC}">
              <c16:uniqueId val="{00000001-FD0A-45CD-836E-CDAF8AE2CE2E}"/>
            </c:ext>
          </c:extLst>
        </c:ser>
        <c:dLbls>
          <c:dLblPos val="ctr"/>
          <c:showLegendKey val="0"/>
          <c:showVal val="1"/>
          <c:showCatName val="0"/>
          <c:showSerName val="0"/>
          <c:showPercent val="0"/>
          <c:showBubbleSize val="0"/>
        </c:dLbls>
        <c:gapWidth val="79"/>
        <c:overlap val="100"/>
        <c:axId val="1824635328"/>
        <c:axId val="1824646368"/>
      </c:barChart>
      <c:catAx>
        <c:axId val="1824635328"/>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NG"/>
          </a:p>
        </c:txPr>
        <c:crossAx val="1824646368"/>
        <c:crosses val="autoZero"/>
        <c:auto val="1"/>
        <c:lblAlgn val="ctr"/>
        <c:lblOffset val="100"/>
        <c:noMultiLvlLbl val="0"/>
      </c:catAx>
      <c:valAx>
        <c:axId val="1824646368"/>
        <c:scaling>
          <c:orientation val="minMax"/>
        </c:scaling>
        <c:delete val="1"/>
        <c:axPos val="l"/>
        <c:numFmt formatCode="General" sourceLinked="1"/>
        <c:majorTickMark val="none"/>
        <c:minorTickMark val="none"/>
        <c:tickLblPos val="nextTo"/>
        <c:crossAx val="1824635328"/>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Analysis.xlsx]pivot table 2!PivotTable15</c:name>
    <c:fmtId val="1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Attrition Distribution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pivotFmt>
      <c:pivotFmt>
        <c:idx val="1"/>
      </c:pivotFmt>
      <c:pivotFmt>
        <c:idx val="2"/>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spPr>
          <a:solidFill>
            <a:schemeClr val="accent2"/>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a:outerShdw blurRad="254000" sx="102000" sy="102000" algn="ctr" rotWithShape="0">
              <a:prstClr val="black">
                <a:alpha val="20000"/>
              </a:prstClr>
            </a:outerShdw>
          </a:effectLst>
        </c:spPr>
      </c:pivotFmt>
      <c:pivotFmt>
        <c:idx val="8"/>
        <c:spPr>
          <a:solidFill>
            <a:schemeClr val="accent2"/>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 table 2'!$B$30</c:f>
              <c:strCache>
                <c:ptCount val="1"/>
                <c:pt idx="0">
                  <c:v>Total</c:v>
                </c:pt>
              </c:strCache>
            </c:strRef>
          </c:tx>
          <c:dPt>
            <c:idx val="0"/>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E42-45CE-AF1C-2908A32DAF0E}"/>
              </c:ext>
            </c:extLst>
          </c:dPt>
          <c:dPt>
            <c:idx val="1"/>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E42-45CE-AF1C-2908A32DAF0E}"/>
              </c:ext>
            </c:extLst>
          </c:dPt>
          <c:cat>
            <c:strRef>
              <c:f>'pivot table 2'!$A$31:$A$33</c:f>
              <c:strCache>
                <c:ptCount val="2"/>
                <c:pt idx="0">
                  <c:v>No</c:v>
                </c:pt>
                <c:pt idx="1">
                  <c:v>Yes</c:v>
                </c:pt>
              </c:strCache>
            </c:strRef>
          </c:cat>
          <c:val>
            <c:numRef>
              <c:f>'pivot table 2'!$B$31:$B$33</c:f>
              <c:numCache>
                <c:formatCode>General</c:formatCode>
                <c:ptCount val="2"/>
                <c:pt idx="0">
                  <c:v>840934</c:v>
                </c:pt>
                <c:pt idx="1">
                  <c:v>126316</c:v>
                </c:pt>
              </c:numCache>
            </c:numRef>
          </c:val>
          <c:extLst>
            <c:ext xmlns:c16="http://schemas.microsoft.com/office/drawing/2014/chart" uri="{C3380CC4-5D6E-409C-BE32-E72D297353CC}">
              <c16:uniqueId val="{00000004-3E42-45CE-AF1C-2908A32DAF0E}"/>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Analysis.xlsx]pivot table 2!PivotTable14</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chemeClr val="tx2">
                    <a:lumMod val="90000"/>
                    <a:lumOff val="10000"/>
                  </a:schemeClr>
                </a:solidFill>
              </a:rPr>
              <a:t>Education Analysis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2'!$B$16</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 2'!$A$17:$A$21</c:f>
              <c:strCache>
                <c:ptCount val="4"/>
                <c:pt idx="0">
                  <c:v>Life Sciences</c:v>
                </c:pt>
                <c:pt idx="1">
                  <c:v>Medical</c:v>
                </c:pt>
                <c:pt idx="2">
                  <c:v>Other</c:v>
                </c:pt>
                <c:pt idx="3">
                  <c:v>Technical Degree</c:v>
                </c:pt>
              </c:strCache>
            </c:strRef>
          </c:cat>
          <c:val>
            <c:numRef>
              <c:f>'pivot table 2'!$B$17:$B$21</c:f>
              <c:numCache>
                <c:formatCode>General</c:formatCode>
                <c:ptCount val="4"/>
                <c:pt idx="0">
                  <c:v>56514</c:v>
                </c:pt>
                <c:pt idx="1">
                  <c:v>44452</c:v>
                </c:pt>
                <c:pt idx="2">
                  <c:v>5644</c:v>
                </c:pt>
                <c:pt idx="3">
                  <c:v>19706</c:v>
                </c:pt>
              </c:numCache>
            </c:numRef>
          </c:val>
          <c:extLst>
            <c:ext xmlns:c16="http://schemas.microsoft.com/office/drawing/2014/chart" uri="{C3380CC4-5D6E-409C-BE32-E72D297353CC}">
              <c16:uniqueId val="{00000000-5666-4875-9239-6B09BC666C61}"/>
            </c:ext>
          </c:extLst>
        </c:ser>
        <c:dLbls>
          <c:dLblPos val="inEnd"/>
          <c:showLegendKey val="0"/>
          <c:showVal val="1"/>
          <c:showCatName val="0"/>
          <c:showSerName val="0"/>
          <c:showPercent val="0"/>
          <c:showBubbleSize val="0"/>
        </c:dLbls>
        <c:gapWidth val="65"/>
        <c:axId val="160320432"/>
        <c:axId val="160317072"/>
      </c:barChart>
      <c:catAx>
        <c:axId val="16032043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160317072"/>
        <c:crosses val="autoZero"/>
        <c:auto val="1"/>
        <c:lblAlgn val="ctr"/>
        <c:lblOffset val="100"/>
        <c:noMultiLvlLbl val="0"/>
      </c:catAx>
      <c:valAx>
        <c:axId val="1603170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NG"/>
          </a:p>
        </c:txPr>
        <c:crossAx val="160320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solidFill>
                  <a:schemeClr val="tx2">
                    <a:lumMod val="90000"/>
                    <a:lumOff val="10000"/>
                  </a:schemeClr>
                </a:solidFill>
              </a:rPr>
              <a:t>Attrition by overtime  </a:t>
            </a:r>
          </a:p>
        </c:rich>
      </c:tx>
      <c:layout>
        <c:manualLayout>
          <c:xMode val="edge"/>
          <c:yMode val="edge"/>
          <c:x val="0.34172900262467193"/>
          <c:y val="7.579244902079547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202546513429961"/>
          <c:y val="0.20873122589449103"/>
          <c:w val="0.69380796150481194"/>
          <c:h val="0.65890128317293672"/>
        </c:manualLayout>
      </c:layout>
      <c:barChart>
        <c:barDir val="col"/>
        <c:grouping val="stacked"/>
        <c:varyColors val="0"/>
        <c:ser>
          <c:idx val="0"/>
          <c:order val="0"/>
          <c:tx>
            <c:v>No</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No</c:v>
              </c:pt>
              <c:pt idx="1">
                <c:v>Yes</c:v>
              </c:pt>
            </c:strLit>
          </c:cat>
          <c:val>
            <c:numLit>
              <c:formatCode>General</c:formatCode>
              <c:ptCount val="2"/>
              <c:pt idx="0">
                <c:v>645058</c:v>
              </c:pt>
              <c:pt idx="1">
                <c:v>195876</c:v>
              </c:pt>
            </c:numLit>
          </c:val>
          <c:extLst>
            <c:ext xmlns:c16="http://schemas.microsoft.com/office/drawing/2014/chart" uri="{C3380CC4-5D6E-409C-BE32-E72D297353CC}">
              <c16:uniqueId val="{00000000-FDC6-4200-919F-9104BA2FBA47}"/>
            </c:ext>
          </c:extLst>
        </c:ser>
        <c:ser>
          <c:idx val="1"/>
          <c:order val="1"/>
          <c:tx>
            <c:v>Yes</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No</c:v>
              </c:pt>
              <c:pt idx="1">
                <c:v>Yes</c:v>
              </c:pt>
            </c:strLit>
          </c:cat>
          <c:val>
            <c:numLit>
              <c:formatCode>General</c:formatCode>
              <c:ptCount val="2"/>
              <c:pt idx="0">
                <c:v>59117</c:v>
              </c:pt>
              <c:pt idx="1">
                <c:v>67199</c:v>
              </c:pt>
            </c:numLit>
          </c:val>
          <c:extLst>
            <c:ext xmlns:c16="http://schemas.microsoft.com/office/drawing/2014/chart" uri="{C3380CC4-5D6E-409C-BE32-E72D297353CC}">
              <c16:uniqueId val="{00000001-FDC6-4200-919F-9104BA2FBA47}"/>
            </c:ext>
          </c:extLst>
        </c:ser>
        <c:dLbls>
          <c:dLblPos val="ctr"/>
          <c:showLegendKey val="0"/>
          <c:showVal val="1"/>
          <c:showCatName val="0"/>
          <c:showSerName val="0"/>
          <c:showPercent val="0"/>
          <c:showBubbleSize val="0"/>
        </c:dLbls>
        <c:gapWidth val="150"/>
        <c:overlap val="100"/>
        <c:axId val="1824635328"/>
        <c:axId val="1824646368"/>
      </c:barChart>
      <c:catAx>
        <c:axId val="1824635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24646368"/>
        <c:crosses val="autoZero"/>
        <c:auto val="1"/>
        <c:lblAlgn val="ctr"/>
        <c:lblOffset val="100"/>
        <c:noMultiLvlLbl val="0"/>
      </c:catAx>
      <c:valAx>
        <c:axId val="182464636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24635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pivotSource>
    <c:name>[HR Analysis.xlsx]pivot table 2!PivotTable13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sastifaction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2'!$B$3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2'!$A$4:$A$8</c:f>
              <c:strCache>
                <c:ptCount val="4"/>
                <c:pt idx="0">
                  <c:v>1</c:v>
                </c:pt>
                <c:pt idx="1">
                  <c:v>2</c:v>
                </c:pt>
                <c:pt idx="2">
                  <c:v>3</c:v>
                </c:pt>
                <c:pt idx="3">
                  <c:v>4</c:v>
                </c:pt>
              </c:strCache>
            </c:strRef>
          </c:cat>
          <c:val>
            <c:numRef>
              <c:f>'pivot table 2'!$B$4:$B$8</c:f>
              <c:numCache>
                <c:formatCode>General</c:formatCode>
                <c:ptCount val="4"/>
                <c:pt idx="0">
                  <c:v>27332</c:v>
                </c:pt>
                <c:pt idx="1">
                  <c:v>20640</c:v>
                </c:pt>
                <c:pt idx="2">
                  <c:v>51600</c:v>
                </c:pt>
                <c:pt idx="3">
                  <c:v>41225</c:v>
                </c:pt>
              </c:numCache>
            </c:numRef>
          </c:val>
          <c:extLst>
            <c:ext xmlns:c16="http://schemas.microsoft.com/office/drawing/2014/chart" uri="{C3380CC4-5D6E-409C-BE32-E72D297353CC}">
              <c16:uniqueId val="{00000000-C7BF-4675-B4BD-D2E0E0639ACD}"/>
            </c:ext>
          </c:extLst>
        </c:ser>
        <c:dLbls>
          <c:dLblPos val="outEnd"/>
          <c:showLegendKey val="0"/>
          <c:showVal val="1"/>
          <c:showCatName val="0"/>
          <c:showSerName val="0"/>
          <c:showPercent val="0"/>
          <c:showBubbleSize val="0"/>
        </c:dLbls>
        <c:gapWidth val="219"/>
        <c:overlap val="-27"/>
        <c:axId val="1835894032"/>
        <c:axId val="1835875792"/>
      </c:barChart>
      <c:catAx>
        <c:axId val="1835894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35875792"/>
        <c:crosses val="autoZero"/>
        <c:auto val="1"/>
        <c:lblAlgn val="ctr"/>
        <c:lblOffset val="100"/>
        <c:noMultiLvlLbl val="0"/>
      </c:catAx>
      <c:valAx>
        <c:axId val="18358757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35894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chemeClr val="tx2">
                    <a:lumMod val="90000"/>
                    <a:lumOff val="10000"/>
                  </a:schemeClr>
                </a:solidFill>
              </a:rPr>
              <a:t>Job</a:t>
            </a:r>
            <a:r>
              <a:rPr lang="en-US" baseline="0">
                <a:solidFill>
                  <a:schemeClr val="tx2">
                    <a:lumMod val="90000"/>
                    <a:lumOff val="10000"/>
                  </a:schemeClr>
                </a:solidFill>
              </a:rPr>
              <a:t> Level Analysis</a:t>
            </a:r>
            <a:endParaRPr lang="en-US">
              <a:solidFill>
                <a:schemeClr val="tx2">
                  <a:lumMod val="90000"/>
                  <a:lumOff val="10000"/>
                </a:schemeClr>
              </a:solidFill>
            </a:endParaRPr>
          </a:p>
        </c:rich>
      </c:tx>
      <c:layout>
        <c:manualLayout>
          <c:xMode val="edge"/>
          <c:yMode val="edge"/>
          <c:x val="0.37572611620180013"/>
          <c:y val="0.22726177472209727"/>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5"/>
              <c:pt idx="0">
                <c:v>5</c:v>
              </c:pt>
              <c:pt idx="1">
                <c:v>4</c:v>
              </c:pt>
              <c:pt idx="2">
                <c:v>3</c:v>
              </c:pt>
              <c:pt idx="3">
                <c:v>2</c:v>
              </c:pt>
              <c:pt idx="4">
                <c:v>1</c:v>
              </c:pt>
            </c:strLit>
          </c:cat>
          <c:val>
            <c:numLit>
              <c:formatCode>General</c:formatCode>
              <c:ptCount val="5"/>
              <c:pt idx="0">
                <c:v>1670</c:v>
              </c:pt>
              <c:pt idx="1">
                <c:v>1127</c:v>
              </c:pt>
              <c:pt idx="2">
                <c:v>10484</c:v>
              </c:pt>
              <c:pt idx="3">
                <c:v>16363</c:v>
              </c:pt>
              <c:pt idx="4">
                <c:v>96672</c:v>
              </c:pt>
            </c:numLit>
          </c:val>
          <c:extLst>
            <c:ext xmlns:c16="http://schemas.microsoft.com/office/drawing/2014/chart" uri="{C3380CC4-5D6E-409C-BE32-E72D297353CC}">
              <c16:uniqueId val="{00000000-0156-40C6-B497-6E22B55B02B4}"/>
            </c:ext>
          </c:extLst>
        </c:ser>
        <c:dLbls>
          <c:dLblPos val="inEnd"/>
          <c:showLegendKey val="0"/>
          <c:showVal val="1"/>
          <c:showCatName val="0"/>
          <c:showSerName val="0"/>
          <c:showPercent val="0"/>
          <c:showBubbleSize val="0"/>
        </c:dLbls>
        <c:gapWidth val="65"/>
        <c:axId val="1835871472"/>
        <c:axId val="1835859472"/>
      </c:barChart>
      <c:catAx>
        <c:axId val="183587147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1835859472"/>
        <c:crosses val="autoZero"/>
        <c:auto val="1"/>
        <c:lblAlgn val="ctr"/>
        <c:lblOffset val="100"/>
        <c:noMultiLvlLbl val="0"/>
      </c:catAx>
      <c:valAx>
        <c:axId val="18358594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NG"/>
          </a:p>
        </c:txPr>
        <c:crossAx val="18358714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noFill/>
      <a:round/>
    </a:ln>
    <a:effectLst/>
  </c:spPr>
  <c:txPr>
    <a:bodyPr/>
    <a:lstStyle/>
    <a:p>
      <a:pPr>
        <a:defRPr/>
      </a:pPr>
      <a:endParaRPr lang="en-NG"/>
    </a:p>
  </c:txPr>
  <c:printSettings>
    <c:headerFooter/>
    <c:pageMargins b="0.75" l="0.7" r="0.7" t="0.75" header="0.3" footer="0.3"/>
    <c:pageSetup/>
  </c:printSettings>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Analysis.xlsx]pivot table 1!PivotTable2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tx2">
                    <a:lumMod val="90000"/>
                    <a:lumOff val="10000"/>
                  </a:schemeClr>
                </a:solidFill>
              </a:rPr>
              <a:t>Department</a:t>
            </a:r>
            <a:r>
              <a:rPr lang="en-US" baseline="0">
                <a:solidFill>
                  <a:schemeClr val="tx2">
                    <a:lumMod val="90000"/>
                    <a:lumOff val="10000"/>
                  </a:schemeClr>
                </a:solidFill>
              </a:rPr>
              <a:t> Analysis</a:t>
            </a:r>
            <a:endParaRPr lang="en-US">
              <a:solidFill>
                <a:schemeClr val="tx2">
                  <a:lumMod val="90000"/>
                  <a:lumOff val="10000"/>
                </a:schemeClr>
              </a:solidFill>
            </a:endParaRPr>
          </a:p>
        </c:rich>
      </c:tx>
      <c:layout>
        <c:manualLayout>
          <c:xMode val="edge"/>
          <c:yMode val="edge"/>
          <c:x val="0.32183226589576913"/>
          <c:y val="0.2137124945712721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1'!$B$3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1'!$A$4:$A$7</c:f>
              <c:strCache>
                <c:ptCount val="3"/>
                <c:pt idx="0">
                  <c:v>Human Resources</c:v>
                </c:pt>
                <c:pt idx="1">
                  <c:v>Research &amp; Development</c:v>
                </c:pt>
                <c:pt idx="2">
                  <c:v>Sales</c:v>
                </c:pt>
              </c:strCache>
            </c:strRef>
          </c:cat>
          <c:val>
            <c:numRef>
              <c:f>'pivot table 1'!$B$4:$B$7</c:f>
              <c:numCache>
                <c:formatCode>General</c:formatCode>
                <c:ptCount val="3"/>
                <c:pt idx="0">
                  <c:v>63</c:v>
                </c:pt>
                <c:pt idx="1">
                  <c:v>961</c:v>
                </c:pt>
                <c:pt idx="2">
                  <c:v>446</c:v>
                </c:pt>
              </c:numCache>
            </c:numRef>
          </c:val>
          <c:extLst>
            <c:ext xmlns:c16="http://schemas.microsoft.com/office/drawing/2014/chart" uri="{C3380CC4-5D6E-409C-BE32-E72D297353CC}">
              <c16:uniqueId val="{00000000-B864-4957-A2EA-DA5D98308490}"/>
            </c:ext>
          </c:extLst>
        </c:ser>
        <c:dLbls>
          <c:dLblPos val="outEnd"/>
          <c:showLegendKey val="0"/>
          <c:showVal val="1"/>
          <c:showCatName val="0"/>
          <c:showSerName val="0"/>
          <c:showPercent val="0"/>
          <c:showBubbleSize val="0"/>
        </c:dLbls>
        <c:gapWidth val="219"/>
        <c:overlap val="-27"/>
        <c:axId val="955365664"/>
        <c:axId val="955360864"/>
      </c:barChart>
      <c:catAx>
        <c:axId val="95536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55360864"/>
        <c:crosses val="autoZero"/>
        <c:auto val="1"/>
        <c:lblAlgn val="ctr"/>
        <c:lblOffset val="100"/>
        <c:noMultiLvlLbl val="0"/>
      </c:catAx>
      <c:valAx>
        <c:axId val="9553608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55365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90000"/>
      </a:schemeClr>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[HR Analysis.xlsx]pivot table 1!PivotTable3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tx2">
                    <a:lumMod val="90000"/>
                    <a:lumOff val="10000"/>
                  </a:schemeClr>
                </a:solidFill>
              </a:rPr>
              <a:t>Attrition Age Group </a:t>
            </a:r>
          </a:p>
        </c:rich>
      </c:tx>
      <c:layout>
        <c:manualLayout>
          <c:xMode val="edge"/>
          <c:yMode val="edge"/>
          <c:x val="0.26764346770937464"/>
          <c:y val="0.2438925903492832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1'!$B$16</c:f>
              <c:strCache>
                <c:ptCount val="1"/>
                <c:pt idx="0">
                  <c:v>Total</c:v>
                </c:pt>
              </c:strCache>
            </c:strRef>
          </c:tx>
          <c:spPr>
            <a:solidFill>
              <a:schemeClr val="accent5"/>
            </a:solidFill>
            <a:ln>
              <a:noFill/>
            </a:ln>
            <a:effectLst/>
          </c:spPr>
          <c:invertIfNegative val="0"/>
          <c:cat>
            <c:strRef>
              <c:f>'pivot table 1'!$A$17:$A$22</c:f>
              <c:strCache>
                <c:ptCount val="5"/>
                <c:pt idx="0">
                  <c:v>18-24</c:v>
                </c:pt>
                <c:pt idx="1">
                  <c:v>25-34</c:v>
                </c:pt>
                <c:pt idx="2">
                  <c:v>35-44</c:v>
                </c:pt>
                <c:pt idx="3">
                  <c:v>45-54</c:v>
                </c:pt>
                <c:pt idx="4">
                  <c:v>55+</c:v>
                </c:pt>
              </c:strCache>
            </c:strRef>
          </c:cat>
          <c:val>
            <c:numRef>
              <c:f>'pivot table 1'!$B$17:$B$22</c:f>
              <c:numCache>
                <c:formatCode>General</c:formatCode>
                <c:ptCount val="5"/>
                <c:pt idx="0">
                  <c:v>97</c:v>
                </c:pt>
                <c:pt idx="1">
                  <c:v>554</c:v>
                </c:pt>
                <c:pt idx="2">
                  <c:v>505</c:v>
                </c:pt>
                <c:pt idx="3">
                  <c:v>245</c:v>
                </c:pt>
                <c:pt idx="4">
                  <c:v>69</c:v>
                </c:pt>
              </c:numCache>
            </c:numRef>
          </c:val>
          <c:extLst>
            <c:ext xmlns:c16="http://schemas.microsoft.com/office/drawing/2014/chart" uri="{C3380CC4-5D6E-409C-BE32-E72D297353CC}">
              <c16:uniqueId val="{00000000-4D2A-4D04-8CBD-39276EDDADB9}"/>
            </c:ext>
          </c:extLst>
        </c:ser>
        <c:dLbls>
          <c:showLegendKey val="0"/>
          <c:showVal val="0"/>
          <c:showCatName val="0"/>
          <c:showSerName val="0"/>
          <c:showPercent val="0"/>
          <c:showBubbleSize val="0"/>
        </c:dLbls>
        <c:gapWidth val="219"/>
        <c:overlap val="-27"/>
        <c:axId val="955361344"/>
        <c:axId val="955352704"/>
      </c:barChart>
      <c:catAx>
        <c:axId val="95536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55352704"/>
        <c:crosses val="autoZero"/>
        <c:auto val="1"/>
        <c:lblAlgn val="ctr"/>
        <c:lblOffset val="100"/>
        <c:noMultiLvlLbl val="0"/>
      </c:catAx>
      <c:valAx>
        <c:axId val="9553527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95536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withinLinear" id="15">
  <a:schemeClr val="accent2"/>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2</xdr:col>
      <xdr:colOff>381000</xdr:colOff>
      <xdr:row>35</xdr:row>
      <xdr:rowOff>42862</xdr:rowOff>
    </xdr:from>
    <xdr:to>
      <xdr:col>7</xdr:col>
      <xdr:colOff>333375</xdr:colOff>
      <xdr:row>48</xdr:row>
      <xdr:rowOff>19050</xdr:rowOff>
    </xdr:to>
    <xdr:graphicFrame macro="">
      <xdr:nvGraphicFramePr>
        <xdr:cNvPr id="3" name="Chart 2">
          <a:extLst>
            <a:ext uri="{FF2B5EF4-FFF2-40B4-BE49-F238E27FC236}">
              <a16:creationId xmlns:a16="http://schemas.microsoft.com/office/drawing/2014/main" id="{9722461F-6F93-E9F1-C9E0-839BF7CD42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292385</xdr:colOff>
      <xdr:row>9</xdr:row>
      <xdr:rowOff>74916</xdr:rowOff>
    </xdr:from>
    <xdr:to>
      <xdr:col>8</xdr:col>
      <xdr:colOff>160534</xdr:colOff>
      <xdr:row>23</xdr:row>
      <xdr:rowOff>151116</xdr:rowOff>
    </xdr:to>
    <xdr:graphicFrame macro="">
      <xdr:nvGraphicFramePr>
        <xdr:cNvPr id="4" name="Chart 3">
          <a:extLst>
            <a:ext uri="{FF2B5EF4-FFF2-40B4-BE49-F238E27FC236}">
              <a16:creationId xmlns:a16="http://schemas.microsoft.com/office/drawing/2014/main" id="{D985AD6F-3E64-A39D-2AFA-E72FFC76E1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556945</xdr:colOff>
      <xdr:row>24</xdr:row>
      <xdr:rowOff>20227</xdr:rowOff>
    </xdr:from>
    <xdr:to>
      <xdr:col>7</xdr:col>
      <xdr:colOff>561547</xdr:colOff>
      <xdr:row>35</xdr:row>
      <xdr:rowOff>20227</xdr:rowOff>
    </xdr:to>
    <xdr:graphicFrame macro="">
      <xdr:nvGraphicFramePr>
        <xdr:cNvPr id="5" name="Chart 4">
          <a:extLst>
            <a:ext uri="{FF2B5EF4-FFF2-40B4-BE49-F238E27FC236}">
              <a16:creationId xmlns:a16="http://schemas.microsoft.com/office/drawing/2014/main" id="{B8748AD9-DADC-DBC8-E642-A1A87EB1EE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334446</xdr:colOff>
      <xdr:row>1</xdr:row>
      <xdr:rowOff>107023</xdr:rowOff>
    </xdr:from>
    <xdr:to>
      <xdr:col>12</xdr:col>
      <xdr:colOff>191570</xdr:colOff>
      <xdr:row>14</xdr:row>
      <xdr:rowOff>57257</xdr:rowOff>
    </xdr:to>
    <xdr:graphicFrame macro="">
      <xdr:nvGraphicFramePr>
        <xdr:cNvPr id="6" name="Chart 5">
          <a:extLst>
            <a:ext uri="{FF2B5EF4-FFF2-40B4-BE49-F238E27FC236}">
              <a16:creationId xmlns:a16="http://schemas.microsoft.com/office/drawing/2014/main" id="{52739FF8-09AA-F1E4-1E5D-FBE2D6C420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64213</xdr:colOff>
      <xdr:row>2</xdr:row>
      <xdr:rowOff>71883</xdr:rowOff>
    </xdr:from>
    <xdr:to>
      <xdr:col>6</xdr:col>
      <xdr:colOff>64213</xdr:colOff>
      <xdr:row>7</xdr:row>
      <xdr:rowOff>1</xdr:rowOff>
    </xdr:to>
    <mc:AlternateContent xmlns:mc="http://schemas.openxmlformats.org/markup-compatibility/2006" xmlns:a14="http://schemas.microsoft.com/office/drawing/2010/main">
      <mc:Choice Requires="a14">
        <xdr:graphicFrame macro="">
          <xdr:nvGraphicFramePr>
            <xdr:cNvPr id="7" name="Attrition">
              <a:extLst>
                <a:ext uri="{FF2B5EF4-FFF2-40B4-BE49-F238E27FC236}">
                  <a16:creationId xmlns:a16="http://schemas.microsoft.com/office/drawing/2014/main" id="{99857B36-2C24-605D-26FF-B772504DA336}"/>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4302303" y="457164"/>
              <a:ext cx="1830084" cy="89132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181936</xdr:colOff>
      <xdr:row>2</xdr:row>
      <xdr:rowOff>32107</xdr:rowOff>
    </xdr:from>
    <xdr:to>
      <xdr:col>8</xdr:col>
      <xdr:colOff>192640</xdr:colOff>
      <xdr:row>6</xdr:row>
      <xdr:rowOff>149830</xdr:rowOff>
    </xdr:to>
    <mc:AlternateContent xmlns:mc="http://schemas.openxmlformats.org/markup-compatibility/2006" xmlns:a14="http://schemas.microsoft.com/office/drawing/2010/main">
      <mc:Choice Requires="a14">
        <xdr:graphicFrame macro="">
          <xdr:nvGraphicFramePr>
            <xdr:cNvPr id="8" name="Department">
              <a:extLst>
                <a:ext uri="{FF2B5EF4-FFF2-40B4-BE49-F238E27FC236}">
                  <a16:creationId xmlns:a16="http://schemas.microsoft.com/office/drawing/2014/main" id="{6DAEB477-775E-77D6-477D-8756461A95A9}"/>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6250110" y="417388"/>
              <a:ext cx="1230760" cy="888285"/>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288960</xdr:colOff>
      <xdr:row>1</xdr:row>
      <xdr:rowOff>160534</xdr:rowOff>
    </xdr:from>
    <xdr:to>
      <xdr:col>2</xdr:col>
      <xdr:colOff>1573230</xdr:colOff>
      <xdr:row>7</xdr:row>
      <xdr:rowOff>0</xdr:rowOff>
    </xdr:to>
    <mc:AlternateContent xmlns:mc="http://schemas.openxmlformats.org/markup-compatibility/2006" xmlns:a14="http://schemas.microsoft.com/office/drawing/2010/main">
      <mc:Choice Requires="a14">
        <xdr:graphicFrame macro="">
          <xdr:nvGraphicFramePr>
            <xdr:cNvPr id="9" name="JobRole">
              <a:extLst>
                <a:ext uri="{FF2B5EF4-FFF2-40B4-BE49-F238E27FC236}">
                  <a16:creationId xmlns:a16="http://schemas.microsoft.com/office/drawing/2014/main" id="{4B960969-0D23-145B-78C6-A32C94E6E074}"/>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2825393" y="353174"/>
              <a:ext cx="1284270" cy="995309"/>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238125</xdr:colOff>
      <xdr:row>0</xdr:row>
      <xdr:rowOff>0</xdr:rowOff>
    </xdr:from>
    <xdr:to>
      <xdr:col>9</xdr:col>
      <xdr:colOff>542925</xdr:colOff>
      <xdr:row>14</xdr:row>
      <xdr:rowOff>76200</xdr:rowOff>
    </xdr:to>
    <xdr:graphicFrame macro="">
      <xdr:nvGraphicFramePr>
        <xdr:cNvPr id="3" name="Chart 2">
          <a:extLst>
            <a:ext uri="{FF2B5EF4-FFF2-40B4-BE49-F238E27FC236}">
              <a16:creationId xmlns:a16="http://schemas.microsoft.com/office/drawing/2014/main" id="{97298D8D-1CCE-2922-122D-FEF39F35A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85725</xdr:colOff>
      <xdr:row>23</xdr:row>
      <xdr:rowOff>38100</xdr:rowOff>
    </xdr:from>
    <xdr:to>
      <xdr:col>5</xdr:col>
      <xdr:colOff>419100</xdr:colOff>
      <xdr:row>37</xdr:row>
      <xdr:rowOff>114300</xdr:rowOff>
    </xdr:to>
    <xdr:graphicFrame macro="">
      <xdr:nvGraphicFramePr>
        <xdr:cNvPr id="4" name="Chart 3">
          <a:extLst>
            <a:ext uri="{FF2B5EF4-FFF2-40B4-BE49-F238E27FC236}">
              <a16:creationId xmlns:a16="http://schemas.microsoft.com/office/drawing/2014/main" id="{65BBD14F-F109-1832-4B42-58FE6F5617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323850</xdr:colOff>
      <xdr:row>1</xdr:row>
      <xdr:rowOff>19050</xdr:rowOff>
    </xdr:from>
    <xdr:to>
      <xdr:col>15</xdr:col>
      <xdr:colOff>438150</xdr:colOff>
      <xdr:row>11</xdr:row>
      <xdr:rowOff>161925</xdr:rowOff>
    </xdr:to>
    <xdr:graphicFrame macro="">
      <xdr:nvGraphicFramePr>
        <xdr:cNvPr id="2" name="Chart 1">
          <a:extLst>
            <a:ext uri="{FF2B5EF4-FFF2-40B4-BE49-F238E27FC236}">
              <a16:creationId xmlns:a16="http://schemas.microsoft.com/office/drawing/2014/main" id="{F5899517-4BA4-4B4F-BD92-0123545B25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114300</xdr:colOff>
      <xdr:row>21</xdr:row>
      <xdr:rowOff>171449</xdr:rowOff>
    </xdr:from>
    <xdr:to>
      <xdr:col>9</xdr:col>
      <xdr:colOff>38100</xdr:colOff>
      <xdr:row>36</xdr:row>
      <xdr:rowOff>14286</xdr:rowOff>
    </xdr:to>
    <xdr:graphicFrame macro="">
      <xdr:nvGraphicFramePr>
        <xdr:cNvPr id="5" name="Chart 4">
          <a:extLst>
            <a:ext uri="{FF2B5EF4-FFF2-40B4-BE49-F238E27FC236}">
              <a16:creationId xmlns:a16="http://schemas.microsoft.com/office/drawing/2014/main" id="{CC1FD638-C634-493F-8F53-3774A801EB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219075</xdr:colOff>
      <xdr:row>36</xdr:row>
      <xdr:rowOff>133350</xdr:rowOff>
    </xdr:from>
    <xdr:to>
      <xdr:col>7</xdr:col>
      <xdr:colOff>333375</xdr:colOff>
      <xdr:row>47</xdr:row>
      <xdr:rowOff>85725</xdr:rowOff>
    </xdr:to>
    <xdr:graphicFrame macro="">
      <xdr:nvGraphicFramePr>
        <xdr:cNvPr id="6" name="Chart 5">
          <a:extLst>
            <a:ext uri="{FF2B5EF4-FFF2-40B4-BE49-F238E27FC236}">
              <a16:creationId xmlns:a16="http://schemas.microsoft.com/office/drawing/2014/main" id="{28402531-A47A-4209-847A-C12B5223E3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409575</xdr:colOff>
      <xdr:row>48</xdr:row>
      <xdr:rowOff>23812</xdr:rowOff>
    </xdr:from>
    <xdr:to>
      <xdr:col>8</xdr:col>
      <xdr:colOff>1838325</xdr:colOff>
      <xdr:row>62</xdr:row>
      <xdr:rowOff>100012</xdr:rowOff>
    </xdr:to>
    <xdr:graphicFrame macro="">
      <xdr:nvGraphicFramePr>
        <xdr:cNvPr id="7" name="Chart 6">
          <a:extLst>
            <a:ext uri="{FF2B5EF4-FFF2-40B4-BE49-F238E27FC236}">
              <a16:creationId xmlns:a16="http://schemas.microsoft.com/office/drawing/2014/main" id="{8606C9AF-2BD7-4D85-9A96-735D559DA8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152400</xdr:colOff>
      <xdr:row>0</xdr:row>
      <xdr:rowOff>83305</xdr:rowOff>
    </xdr:from>
    <xdr:to>
      <xdr:col>26</xdr:col>
      <xdr:colOff>88900</xdr:colOff>
      <xdr:row>3</xdr:row>
      <xdr:rowOff>141805</xdr:rowOff>
    </xdr:to>
    <xdr:sp macro="" textlink="">
      <xdr:nvSpPr>
        <xdr:cNvPr id="2" name="Rectangle: Rounded Corners 1">
          <a:extLst>
            <a:ext uri="{FF2B5EF4-FFF2-40B4-BE49-F238E27FC236}">
              <a16:creationId xmlns:a16="http://schemas.microsoft.com/office/drawing/2014/main" id="{B3F602D8-6E42-1F47-3794-BC2328428BB8}"/>
            </a:ext>
          </a:extLst>
        </xdr:cNvPr>
        <xdr:cNvSpPr/>
      </xdr:nvSpPr>
      <xdr:spPr>
        <a:xfrm>
          <a:off x="152400" y="83305"/>
          <a:ext cx="15786100" cy="630000"/>
        </a:xfrm>
        <a:prstGeom prst="roundRect">
          <a:avLst>
            <a:gd name="adj" fmla="val 0"/>
          </a:avLst>
        </a:prstGeom>
        <a:solidFill>
          <a:srgbClr val="303B4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156642</xdr:colOff>
      <xdr:row>4</xdr:row>
      <xdr:rowOff>38666</xdr:rowOff>
    </xdr:from>
    <xdr:to>
      <xdr:col>4</xdr:col>
      <xdr:colOff>188614</xdr:colOff>
      <xdr:row>9</xdr:row>
      <xdr:rowOff>164280</xdr:rowOff>
    </xdr:to>
    <xdr:sp macro="" textlink="">
      <xdr:nvSpPr>
        <xdr:cNvPr id="3" name="Rectangle: Rounded Corners 2">
          <a:extLst>
            <a:ext uri="{FF2B5EF4-FFF2-40B4-BE49-F238E27FC236}">
              <a16:creationId xmlns:a16="http://schemas.microsoft.com/office/drawing/2014/main" id="{64FF3762-610D-5851-135E-B4C3D4554A0F}"/>
            </a:ext>
          </a:extLst>
        </xdr:cNvPr>
        <xdr:cNvSpPr/>
      </xdr:nvSpPr>
      <xdr:spPr>
        <a:xfrm>
          <a:off x="156642" y="793121"/>
          <a:ext cx="2483952" cy="1068684"/>
        </a:xfrm>
        <a:prstGeom prst="roundRect">
          <a:avLst>
            <a:gd name="adj" fmla="val 6084"/>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356793</xdr:colOff>
      <xdr:row>4</xdr:row>
      <xdr:rowOff>29235</xdr:rowOff>
    </xdr:from>
    <xdr:to>
      <xdr:col>9</xdr:col>
      <xdr:colOff>296793</xdr:colOff>
      <xdr:row>9</xdr:row>
      <xdr:rowOff>154849</xdr:rowOff>
    </xdr:to>
    <xdr:sp macro="" textlink="">
      <xdr:nvSpPr>
        <xdr:cNvPr id="4" name="Rectangle: Rounded Corners 3">
          <a:extLst>
            <a:ext uri="{FF2B5EF4-FFF2-40B4-BE49-F238E27FC236}">
              <a16:creationId xmlns:a16="http://schemas.microsoft.com/office/drawing/2014/main" id="{2F7A6361-54D1-42AD-B5C8-E7A265823F28}"/>
            </a:ext>
          </a:extLst>
        </xdr:cNvPr>
        <xdr:cNvSpPr/>
      </xdr:nvSpPr>
      <xdr:spPr>
        <a:xfrm>
          <a:off x="2808773" y="783690"/>
          <a:ext cx="3004975" cy="1068684"/>
        </a:xfrm>
        <a:prstGeom prst="roundRect">
          <a:avLst>
            <a:gd name="adj" fmla="val 1674"/>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9</xdr:col>
      <xdr:colOff>448650</xdr:colOff>
      <xdr:row>4</xdr:row>
      <xdr:rowOff>53315</xdr:rowOff>
    </xdr:from>
    <xdr:to>
      <xdr:col>14</xdr:col>
      <xdr:colOff>388650</xdr:colOff>
      <xdr:row>9</xdr:row>
      <xdr:rowOff>180815</xdr:rowOff>
    </xdr:to>
    <xdr:sp macro="" textlink="">
      <xdr:nvSpPr>
        <xdr:cNvPr id="5" name="Rectangle: Rounded Corners 4">
          <a:extLst>
            <a:ext uri="{FF2B5EF4-FFF2-40B4-BE49-F238E27FC236}">
              <a16:creationId xmlns:a16="http://schemas.microsoft.com/office/drawing/2014/main" id="{1B083348-5E11-4BEE-93E1-99B8646FCAFE}"/>
            </a:ext>
          </a:extLst>
        </xdr:cNvPr>
        <xdr:cNvSpPr/>
      </xdr:nvSpPr>
      <xdr:spPr>
        <a:xfrm>
          <a:off x="5935050" y="815315"/>
          <a:ext cx="2988000" cy="1080000"/>
        </a:xfrm>
        <a:prstGeom prst="roundRect">
          <a:avLst>
            <a:gd name="adj" fmla="val 79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14</xdr:col>
      <xdr:colOff>482600</xdr:colOff>
      <xdr:row>4</xdr:row>
      <xdr:rowOff>63000</xdr:rowOff>
    </xdr:from>
    <xdr:to>
      <xdr:col>19</xdr:col>
      <xdr:colOff>454570</xdr:colOff>
      <xdr:row>10</xdr:row>
      <xdr:rowOff>0</xdr:rowOff>
    </xdr:to>
    <xdr:sp macro="" textlink="">
      <xdr:nvSpPr>
        <xdr:cNvPr id="6" name="Rectangle: Rounded Corners 5">
          <a:extLst>
            <a:ext uri="{FF2B5EF4-FFF2-40B4-BE49-F238E27FC236}">
              <a16:creationId xmlns:a16="http://schemas.microsoft.com/office/drawing/2014/main" id="{B27EA982-7E61-49EC-853E-F897871DA818}"/>
            </a:ext>
          </a:extLst>
        </xdr:cNvPr>
        <xdr:cNvSpPr/>
      </xdr:nvSpPr>
      <xdr:spPr>
        <a:xfrm>
          <a:off x="9017000" y="825000"/>
          <a:ext cx="3019970" cy="1080000"/>
        </a:xfrm>
        <a:prstGeom prst="roundRect">
          <a:avLst>
            <a:gd name="adj" fmla="val 1674"/>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215901</xdr:colOff>
      <xdr:row>5</xdr:row>
      <xdr:rowOff>6351</xdr:rowOff>
    </xdr:from>
    <xdr:to>
      <xdr:col>4</xdr:col>
      <xdr:colOff>101601</xdr:colOff>
      <xdr:row>8</xdr:row>
      <xdr:rowOff>101600</xdr:rowOff>
    </xdr:to>
    <xdr:sp macro="" textlink="">
      <xdr:nvSpPr>
        <xdr:cNvPr id="11" name="TextBox 10">
          <a:extLst>
            <a:ext uri="{FF2B5EF4-FFF2-40B4-BE49-F238E27FC236}">
              <a16:creationId xmlns:a16="http://schemas.microsoft.com/office/drawing/2014/main" id="{C574A50F-00FC-9EED-9CB7-A5D93BF953C6}"/>
            </a:ext>
          </a:extLst>
        </xdr:cNvPr>
        <xdr:cNvSpPr txBox="1"/>
      </xdr:nvSpPr>
      <xdr:spPr>
        <a:xfrm>
          <a:off x="215901" y="958851"/>
          <a:ext cx="2324100" cy="666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GB" sz="1500">
              <a:solidFill>
                <a:srgbClr val="002060"/>
              </a:solidFill>
            </a:rPr>
            <a:t>  </a:t>
          </a:r>
          <a:r>
            <a:rPr lang="en-NG" sz="1600"/>
            <a:t>👥</a:t>
          </a:r>
          <a:r>
            <a:rPr lang="en-GB" sz="1500">
              <a:solidFill>
                <a:srgbClr val="002060"/>
              </a:solidFill>
            </a:rPr>
            <a:t>   Total</a:t>
          </a:r>
          <a:r>
            <a:rPr lang="en-GB" sz="1500" baseline="0">
              <a:solidFill>
                <a:srgbClr val="002060"/>
              </a:solidFill>
            </a:rPr>
            <a:t> Employees</a:t>
          </a:r>
        </a:p>
        <a:p>
          <a:r>
            <a:rPr lang="en-GB" sz="1800" b="0" i="0" baseline="0">
              <a:solidFill>
                <a:srgbClr val="002060"/>
              </a:solidFill>
              <a:effectLst/>
              <a:latin typeface="+mn-lt"/>
              <a:ea typeface="+mn-ea"/>
              <a:cs typeface="+mn-cs"/>
            </a:rPr>
            <a:t>              </a:t>
          </a:r>
          <a:r>
            <a:rPr lang="en-NG" sz="1800" b="0" i="0">
              <a:solidFill>
                <a:srgbClr val="002060"/>
              </a:solidFill>
              <a:effectLst/>
              <a:latin typeface="+mn-lt"/>
              <a:ea typeface="+mn-ea"/>
              <a:cs typeface="+mn-cs"/>
            </a:rPr>
            <a:t>1</a:t>
          </a:r>
          <a:r>
            <a:rPr lang="en-GB" sz="1800" b="0" i="0">
              <a:solidFill>
                <a:srgbClr val="002060"/>
              </a:solidFill>
              <a:effectLst/>
              <a:latin typeface="+mn-lt"/>
              <a:ea typeface="+mn-ea"/>
              <a:cs typeface="+mn-cs"/>
            </a:rPr>
            <a:t>470</a:t>
          </a:r>
          <a:r>
            <a:rPr lang="en-GB" sz="1800" baseline="0">
              <a:solidFill>
                <a:srgbClr val="002060"/>
              </a:solidFill>
            </a:rPr>
            <a:t>  </a:t>
          </a:r>
          <a:endParaRPr lang="en-NG" sz="1800">
            <a:solidFill>
              <a:srgbClr val="00206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12700</xdr:colOff>
      <xdr:row>1</xdr:row>
      <xdr:rowOff>0</xdr:rowOff>
    </xdr:from>
    <xdr:to>
      <xdr:col>17</xdr:col>
      <xdr:colOff>174625</xdr:colOff>
      <xdr:row>3</xdr:row>
      <xdr:rowOff>76200</xdr:rowOff>
    </xdr:to>
    <xdr:sp macro="" textlink="">
      <xdr:nvSpPr>
        <xdr:cNvPr id="10" name="TextBox 9">
          <a:extLst>
            <a:ext uri="{FF2B5EF4-FFF2-40B4-BE49-F238E27FC236}">
              <a16:creationId xmlns:a16="http://schemas.microsoft.com/office/drawing/2014/main" id="{445248AC-8BC8-14CB-778B-BB69A282AC7E}"/>
            </a:ext>
          </a:extLst>
        </xdr:cNvPr>
        <xdr:cNvSpPr txBox="1"/>
      </xdr:nvSpPr>
      <xdr:spPr>
        <a:xfrm>
          <a:off x="4889500" y="190500"/>
          <a:ext cx="5648325"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GB" sz="2800">
              <a:solidFill>
                <a:srgbClr val="FF7D7D"/>
              </a:solidFill>
              <a:latin typeface="Calibri" panose="020F0502020204030204" pitchFamily="34" charset="0"/>
              <a:ea typeface="Calibri" panose="020F0502020204030204" pitchFamily="34" charset="0"/>
              <a:cs typeface="Calibri" panose="020F0502020204030204" pitchFamily="34" charset="0"/>
            </a:rPr>
            <a:t>        HR</a:t>
          </a:r>
          <a:r>
            <a:rPr lang="en-GB" sz="2800" baseline="0">
              <a:solidFill>
                <a:srgbClr val="FF7D7D"/>
              </a:solidFill>
              <a:latin typeface="Calibri" panose="020F0502020204030204" pitchFamily="34" charset="0"/>
              <a:ea typeface="Calibri" panose="020F0502020204030204" pitchFamily="34" charset="0"/>
              <a:cs typeface="Calibri" panose="020F0502020204030204" pitchFamily="34" charset="0"/>
            </a:rPr>
            <a:t> EMPLOYEE ANALYTICS</a:t>
          </a:r>
          <a:endParaRPr lang="en-NG" sz="2800">
            <a:solidFill>
              <a:srgbClr val="FF7D7D"/>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406401</xdr:colOff>
      <xdr:row>5</xdr:row>
      <xdr:rowOff>0</xdr:rowOff>
    </xdr:from>
    <xdr:to>
      <xdr:col>9</xdr:col>
      <xdr:colOff>266701</xdr:colOff>
      <xdr:row>9</xdr:row>
      <xdr:rowOff>88900</xdr:rowOff>
    </xdr:to>
    <xdr:sp macro="" textlink="">
      <xdr:nvSpPr>
        <xdr:cNvPr id="15" name="TextBox 14">
          <a:extLst>
            <a:ext uri="{FF2B5EF4-FFF2-40B4-BE49-F238E27FC236}">
              <a16:creationId xmlns:a16="http://schemas.microsoft.com/office/drawing/2014/main" id="{338167A5-1435-5676-23D1-843CB455F1A6}"/>
            </a:ext>
          </a:extLst>
        </xdr:cNvPr>
        <xdr:cNvSpPr txBox="1"/>
      </xdr:nvSpPr>
      <xdr:spPr>
        <a:xfrm>
          <a:off x="2844801" y="952500"/>
          <a:ext cx="2908300" cy="850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GB" sz="1500">
              <a:solidFill>
                <a:schemeClr val="tx2">
                  <a:lumMod val="90000"/>
                  <a:lumOff val="10000"/>
                </a:schemeClr>
              </a:solidFill>
              <a:latin typeface="Calibri" panose="020F0502020204030204" pitchFamily="34" charset="0"/>
              <a:ea typeface="Calibri" panose="020F0502020204030204" pitchFamily="34" charset="0"/>
              <a:cs typeface="Calibri" panose="020F0502020204030204" pitchFamily="34" charset="0"/>
            </a:rPr>
            <a:t>    </a:t>
          </a:r>
          <a:r>
            <a:rPr lang="en-NG" sz="1600"/>
            <a:t>🔴</a:t>
          </a:r>
          <a:r>
            <a:rPr lang="en-GB" sz="1500">
              <a:solidFill>
                <a:schemeClr val="tx2">
                  <a:lumMod val="90000"/>
                  <a:lumOff val="10000"/>
                </a:schemeClr>
              </a:solidFill>
              <a:latin typeface="Calibri" panose="020F0502020204030204" pitchFamily="34" charset="0"/>
              <a:ea typeface="Calibri" panose="020F0502020204030204" pitchFamily="34" charset="0"/>
              <a:cs typeface="Calibri" panose="020F0502020204030204" pitchFamily="34" charset="0"/>
            </a:rPr>
            <a:t> </a:t>
          </a:r>
          <a:r>
            <a:rPr lang="en-GB" sz="1500">
              <a:solidFill>
                <a:srgbClr val="FF0000"/>
              </a:solidFill>
              <a:latin typeface="Calibri" panose="020F0502020204030204" pitchFamily="34" charset="0"/>
              <a:ea typeface="Calibri" panose="020F0502020204030204" pitchFamily="34" charset="0"/>
              <a:cs typeface="Calibri" panose="020F0502020204030204" pitchFamily="34" charset="0"/>
            </a:rPr>
            <a:t>Employees</a:t>
          </a:r>
          <a:r>
            <a:rPr lang="en-GB" sz="1500" baseline="0">
              <a:solidFill>
                <a:srgbClr val="FF0000"/>
              </a:solidFill>
              <a:latin typeface="Calibri" panose="020F0502020204030204" pitchFamily="34" charset="0"/>
              <a:ea typeface="Calibri" panose="020F0502020204030204" pitchFamily="34" charset="0"/>
              <a:cs typeface="Calibri" panose="020F0502020204030204" pitchFamily="34" charset="0"/>
            </a:rPr>
            <a:t> Left</a:t>
          </a:r>
          <a:endParaRPr lang="en-GB" sz="1500">
            <a:solidFill>
              <a:srgbClr val="FF0000"/>
            </a:solidFill>
            <a:latin typeface="Calibri" panose="020F0502020204030204" pitchFamily="34" charset="0"/>
            <a:ea typeface="Calibri" panose="020F0502020204030204" pitchFamily="34" charset="0"/>
            <a:cs typeface="Calibri" panose="020F0502020204030204" pitchFamily="34" charset="0"/>
          </a:endParaRPr>
        </a:p>
        <a:p>
          <a:r>
            <a:rPr lang="en-GB" sz="1500">
              <a:solidFill>
                <a:srgbClr val="FF0000"/>
              </a:solidFill>
              <a:latin typeface="Calibri" panose="020F0502020204030204" pitchFamily="34" charset="0"/>
              <a:ea typeface="Calibri" panose="020F0502020204030204" pitchFamily="34" charset="0"/>
              <a:cs typeface="Calibri" panose="020F0502020204030204" pitchFamily="34" charset="0"/>
            </a:rPr>
            <a:t>                   237</a:t>
          </a:r>
          <a:endParaRPr lang="en-NG" sz="1500">
            <a:solidFill>
              <a:srgbClr val="FF000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161925</xdr:colOff>
      <xdr:row>5</xdr:row>
      <xdr:rowOff>66675</xdr:rowOff>
    </xdr:from>
    <xdr:to>
      <xdr:col>13</xdr:col>
      <xdr:colOff>470403</xdr:colOff>
      <xdr:row>8</xdr:row>
      <xdr:rowOff>170507</xdr:rowOff>
    </xdr:to>
    <xdr:sp macro="" textlink="">
      <xdr:nvSpPr>
        <xdr:cNvPr id="16" name="TextBox 15">
          <a:extLst>
            <a:ext uri="{FF2B5EF4-FFF2-40B4-BE49-F238E27FC236}">
              <a16:creationId xmlns:a16="http://schemas.microsoft.com/office/drawing/2014/main" id="{DCB2EAE7-642D-755D-9A2F-20108BC8554A}"/>
            </a:ext>
          </a:extLst>
        </xdr:cNvPr>
        <xdr:cNvSpPr txBox="1"/>
      </xdr:nvSpPr>
      <xdr:spPr>
        <a:xfrm>
          <a:off x="6257925" y="1019175"/>
          <a:ext cx="2137278" cy="6753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NG" sz="1600"/>
            <a:t>📉</a:t>
          </a:r>
          <a:r>
            <a:rPr lang="en-GB" sz="1500">
              <a:solidFill>
                <a:srgbClr val="FF0000"/>
              </a:solidFill>
              <a:latin typeface="Calibri" panose="020F0502020204030204" pitchFamily="34" charset="0"/>
              <a:ea typeface="Calibri" panose="020F0502020204030204" pitchFamily="34" charset="0"/>
              <a:cs typeface="Calibri" panose="020F0502020204030204" pitchFamily="34" charset="0"/>
            </a:rPr>
            <a:t>  Attrition</a:t>
          </a:r>
          <a:r>
            <a:rPr lang="en-GB" sz="1500" baseline="0">
              <a:solidFill>
                <a:srgbClr val="FF0000"/>
              </a:solidFill>
              <a:latin typeface="Calibri" panose="020F0502020204030204" pitchFamily="34" charset="0"/>
              <a:ea typeface="Calibri" panose="020F0502020204030204" pitchFamily="34" charset="0"/>
              <a:cs typeface="Calibri" panose="020F0502020204030204" pitchFamily="34" charset="0"/>
            </a:rPr>
            <a:t> Rate </a:t>
          </a:r>
        </a:p>
        <a:p>
          <a:r>
            <a:rPr lang="en-GB" sz="1500" baseline="0">
              <a:solidFill>
                <a:srgbClr val="FF0000"/>
              </a:solidFill>
              <a:latin typeface="Calibri" panose="020F0502020204030204" pitchFamily="34" charset="0"/>
              <a:ea typeface="Calibri" panose="020F0502020204030204" pitchFamily="34" charset="0"/>
              <a:cs typeface="Calibri" panose="020F0502020204030204" pitchFamily="34" charset="0"/>
            </a:rPr>
            <a:t>           16.12% </a:t>
          </a:r>
          <a:endParaRPr lang="en-NG" sz="1500">
            <a:solidFill>
              <a:srgbClr val="FF000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14</xdr:col>
      <xdr:colOff>612994</xdr:colOff>
      <xdr:row>5</xdr:row>
      <xdr:rowOff>1</xdr:rowOff>
    </xdr:from>
    <xdr:to>
      <xdr:col>19</xdr:col>
      <xdr:colOff>0</xdr:colOff>
      <xdr:row>9</xdr:row>
      <xdr:rowOff>0</xdr:rowOff>
    </xdr:to>
    <xdr:sp macro="" textlink="">
      <xdr:nvSpPr>
        <xdr:cNvPr id="17" name="TextBox 16">
          <a:extLst>
            <a:ext uri="{FF2B5EF4-FFF2-40B4-BE49-F238E27FC236}">
              <a16:creationId xmlns:a16="http://schemas.microsoft.com/office/drawing/2014/main" id="{C69EAA2F-8867-19AE-0F5D-CC50DB488231}"/>
            </a:ext>
          </a:extLst>
        </xdr:cNvPr>
        <xdr:cNvSpPr txBox="1"/>
      </xdr:nvSpPr>
      <xdr:spPr>
        <a:xfrm>
          <a:off x="9194925" y="943070"/>
          <a:ext cx="2451981" cy="754455"/>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NG" sz="1600"/>
            <a:t>💰</a:t>
          </a:r>
          <a:r>
            <a:rPr lang="en-GB" sz="1500">
              <a:solidFill>
                <a:srgbClr val="00B050"/>
              </a:solidFill>
              <a:latin typeface="Calibri" panose="020F0502020204030204" pitchFamily="34" charset="0"/>
              <a:ea typeface="Calibri" panose="020F0502020204030204" pitchFamily="34" charset="0"/>
              <a:cs typeface="Calibri" panose="020F0502020204030204" pitchFamily="34" charset="0"/>
            </a:rPr>
            <a:t>Average</a:t>
          </a:r>
          <a:r>
            <a:rPr lang="en-GB" sz="1500" baseline="0">
              <a:solidFill>
                <a:srgbClr val="00B050"/>
              </a:solidFill>
              <a:latin typeface="Calibri" panose="020F0502020204030204" pitchFamily="34" charset="0"/>
              <a:ea typeface="Calibri" panose="020F0502020204030204" pitchFamily="34" charset="0"/>
              <a:cs typeface="Calibri" panose="020F0502020204030204" pitchFamily="34" charset="0"/>
            </a:rPr>
            <a:t> Monthly Income</a:t>
          </a:r>
        </a:p>
        <a:p>
          <a:r>
            <a:rPr lang="en-GB" sz="1600">
              <a:solidFill>
                <a:srgbClr val="00B050"/>
              </a:solidFill>
            </a:rPr>
            <a:t>                </a:t>
          </a:r>
          <a:r>
            <a:rPr lang="en-NG" sz="1600">
              <a:solidFill>
                <a:srgbClr val="00B050"/>
              </a:solidFill>
            </a:rPr>
            <a:t>6,503</a:t>
          </a:r>
          <a:endParaRPr lang="en-NG" sz="1500">
            <a:solidFill>
              <a:srgbClr val="00B05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152400</xdr:colOff>
      <xdr:row>11</xdr:row>
      <xdr:rowOff>95250</xdr:rowOff>
    </xdr:from>
    <xdr:to>
      <xdr:col>5</xdr:col>
      <xdr:colOff>0</xdr:colOff>
      <xdr:row>23</xdr:row>
      <xdr:rowOff>95250</xdr:rowOff>
    </xdr:to>
    <xdr:graphicFrame macro="">
      <xdr:nvGraphicFramePr>
        <xdr:cNvPr id="8" name="Chart 7">
          <a:extLst>
            <a:ext uri="{FF2B5EF4-FFF2-40B4-BE49-F238E27FC236}">
              <a16:creationId xmlns:a16="http://schemas.microsoft.com/office/drawing/2014/main" id="{3581B4A4-2E9C-46B9-85F7-AC8648551F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11</xdr:row>
      <xdr:rowOff>19050</xdr:rowOff>
    </xdr:from>
    <xdr:to>
      <xdr:col>12</xdr:col>
      <xdr:colOff>0</xdr:colOff>
      <xdr:row>25</xdr:row>
      <xdr:rowOff>0</xdr:rowOff>
    </xdr:to>
    <xdr:sp macro="" textlink="">
      <xdr:nvSpPr>
        <xdr:cNvPr id="9" name="Rectangle: Rounded Corners 8">
          <a:extLst>
            <a:ext uri="{FF2B5EF4-FFF2-40B4-BE49-F238E27FC236}">
              <a16:creationId xmlns:a16="http://schemas.microsoft.com/office/drawing/2014/main" id="{C6EE2DE4-5516-A4CA-03EB-DDA9FCADA8EB}"/>
            </a:ext>
          </a:extLst>
        </xdr:cNvPr>
        <xdr:cNvSpPr/>
      </xdr:nvSpPr>
      <xdr:spPr>
        <a:xfrm>
          <a:off x="3048000" y="2114550"/>
          <a:ext cx="4267200" cy="2647950"/>
        </a:xfrm>
        <a:prstGeom prst="roundRect">
          <a:avLst>
            <a:gd name="adj" fmla="val 0"/>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xdr:col>
      <xdr:colOff>0</xdr:colOff>
      <xdr:row>11</xdr:row>
      <xdr:rowOff>0</xdr:rowOff>
    </xdr:from>
    <xdr:to>
      <xdr:col>5</xdr:col>
      <xdr:colOff>0</xdr:colOff>
      <xdr:row>24</xdr:row>
      <xdr:rowOff>0</xdr:rowOff>
    </xdr:to>
    <xdr:sp macro="" textlink="">
      <xdr:nvSpPr>
        <xdr:cNvPr id="7" name="Rectangle: Rounded Corners 6">
          <a:extLst>
            <a:ext uri="{FF2B5EF4-FFF2-40B4-BE49-F238E27FC236}">
              <a16:creationId xmlns:a16="http://schemas.microsoft.com/office/drawing/2014/main" id="{B907E92E-4566-8F36-52A9-079815AF46C6}"/>
            </a:ext>
          </a:extLst>
        </xdr:cNvPr>
        <xdr:cNvSpPr/>
      </xdr:nvSpPr>
      <xdr:spPr>
        <a:xfrm>
          <a:off x="609600" y="2095500"/>
          <a:ext cx="2438400" cy="2476500"/>
        </a:xfrm>
        <a:prstGeom prst="roundRect">
          <a:avLst>
            <a:gd name="adj" fmla="val 1541"/>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5</xdr:col>
      <xdr:colOff>68122</xdr:colOff>
      <xdr:row>11</xdr:row>
      <xdr:rowOff>4464</xdr:rowOff>
    </xdr:from>
    <xdr:to>
      <xdr:col>11</xdr:col>
      <xdr:colOff>176292</xdr:colOff>
      <xdr:row>23</xdr:row>
      <xdr:rowOff>177800</xdr:rowOff>
    </xdr:to>
    <xdr:graphicFrame macro="">
      <xdr:nvGraphicFramePr>
        <xdr:cNvPr id="13" name="Chart 12">
          <a:extLst>
            <a:ext uri="{FF2B5EF4-FFF2-40B4-BE49-F238E27FC236}">
              <a16:creationId xmlns:a16="http://schemas.microsoft.com/office/drawing/2014/main" id="{41D29853-7360-4C70-BFC2-288D0650C0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235768</xdr:colOff>
      <xdr:row>10</xdr:row>
      <xdr:rowOff>188612</xdr:rowOff>
    </xdr:from>
    <xdr:to>
      <xdr:col>16</xdr:col>
      <xdr:colOff>235768</xdr:colOff>
      <xdr:row>23</xdr:row>
      <xdr:rowOff>188613</xdr:rowOff>
    </xdr:to>
    <xdr:graphicFrame macro="">
      <xdr:nvGraphicFramePr>
        <xdr:cNvPr id="14" name="Chart 13">
          <a:extLst>
            <a:ext uri="{FF2B5EF4-FFF2-40B4-BE49-F238E27FC236}">
              <a16:creationId xmlns:a16="http://schemas.microsoft.com/office/drawing/2014/main" id="{EB60E3B3-6C95-45F5-8FEE-498187B5DE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187623</xdr:colOff>
      <xdr:row>25</xdr:row>
      <xdr:rowOff>34469</xdr:rowOff>
    </xdr:from>
    <xdr:to>
      <xdr:col>14</xdr:col>
      <xdr:colOff>187624</xdr:colOff>
      <xdr:row>38</xdr:row>
      <xdr:rowOff>99258</xdr:rowOff>
    </xdr:to>
    <xdr:graphicFrame macro="">
      <xdr:nvGraphicFramePr>
        <xdr:cNvPr id="21" name="Chart 20">
          <a:extLst>
            <a:ext uri="{FF2B5EF4-FFF2-40B4-BE49-F238E27FC236}">
              <a16:creationId xmlns:a16="http://schemas.microsoft.com/office/drawing/2014/main" id="{20CB2B34-DD29-477A-A34F-E4310BD821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0</xdr:colOff>
      <xdr:row>11</xdr:row>
      <xdr:rowOff>0</xdr:rowOff>
    </xdr:from>
    <xdr:to>
      <xdr:col>18</xdr:col>
      <xdr:colOff>0</xdr:colOff>
      <xdr:row>23</xdr:row>
      <xdr:rowOff>123824</xdr:rowOff>
    </xdr:to>
    <xdr:sp macro="" textlink="">
      <xdr:nvSpPr>
        <xdr:cNvPr id="12" name="Rectangle: Rounded Corners 11">
          <a:extLst>
            <a:ext uri="{FF2B5EF4-FFF2-40B4-BE49-F238E27FC236}">
              <a16:creationId xmlns:a16="http://schemas.microsoft.com/office/drawing/2014/main" id="{7C54604E-A2E8-4321-BAA6-59762412963A}"/>
            </a:ext>
          </a:extLst>
        </xdr:cNvPr>
        <xdr:cNvSpPr/>
      </xdr:nvSpPr>
      <xdr:spPr>
        <a:xfrm>
          <a:off x="7924800" y="2095500"/>
          <a:ext cx="3048000" cy="2409824"/>
        </a:xfrm>
        <a:prstGeom prst="roundRect">
          <a:avLst>
            <a:gd name="adj" fmla="val 986"/>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14</xdr:col>
      <xdr:colOff>375247</xdr:colOff>
      <xdr:row>25</xdr:row>
      <xdr:rowOff>47813</xdr:rowOff>
    </xdr:from>
    <xdr:to>
      <xdr:col>20</xdr:col>
      <xdr:colOff>575272</xdr:colOff>
      <xdr:row>38</xdr:row>
      <xdr:rowOff>85913</xdr:rowOff>
    </xdr:to>
    <xdr:graphicFrame macro="">
      <xdr:nvGraphicFramePr>
        <xdr:cNvPr id="19" name="Chart 18">
          <a:extLst>
            <a:ext uri="{FF2B5EF4-FFF2-40B4-BE49-F238E27FC236}">
              <a16:creationId xmlns:a16="http://schemas.microsoft.com/office/drawing/2014/main" id="{35ADFED5-2EC1-42C7-ADEE-4B55FF226E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26</xdr:row>
      <xdr:rowOff>0</xdr:rowOff>
    </xdr:from>
    <xdr:to>
      <xdr:col>13</xdr:col>
      <xdr:colOff>0</xdr:colOff>
      <xdr:row>38</xdr:row>
      <xdr:rowOff>0</xdr:rowOff>
    </xdr:to>
    <xdr:sp macro="" textlink="">
      <xdr:nvSpPr>
        <xdr:cNvPr id="18" name="Rectangle: Rounded Corners 17">
          <a:extLst>
            <a:ext uri="{FF2B5EF4-FFF2-40B4-BE49-F238E27FC236}">
              <a16:creationId xmlns:a16="http://schemas.microsoft.com/office/drawing/2014/main" id="{C0AEFC6D-446F-21C6-C846-841D357F6629}"/>
            </a:ext>
          </a:extLst>
        </xdr:cNvPr>
        <xdr:cNvSpPr/>
      </xdr:nvSpPr>
      <xdr:spPr>
        <a:xfrm>
          <a:off x="4267200" y="4953000"/>
          <a:ext cx="3657600" cy="2286000"/>
        </a:xfrm>
        <a:prstGeom prst="roundRect">
          <a:avLst>
            <a:gd name="adj" fmla="val 41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13</xdr:col>
      <xdr:colOff>0</xdr:colOff>
      <xdr:row>26</xdr:row>
      <xdr:rowOff>0</xdr:rowOff>
    </xdr:from>
    <xdr:to>
      <xdr:col>19</xdr:col>
      <xdr:colOff>0</xdr:colOff>
      <xdr:row>39</xdr:row>
      <xdr:rowOff>0</xdr:rowOff>
    </xdr:to>
    <xdr:sp macro="" textlink="">
      <xdr:nvSpPr>
        <xdr:cNvPr id="20" name="Rectangle: Rounded Corners 19">
          <a:extLst>
            <a:ext uri="{FF2B5EF4-FFF2-40B4-BE49-F238E27FC236}">
              <a16:creationId xmlns:a16="http://schemas.microsoft.com/office/drawing/2014/main" id="{C40309F9-A9C3-CACD-549C-EA58EAEA7017}"/>
            </a:ext>
          </a:extLst>
        </xdr:cNvPr>
        <xdr:cNvSpPr/>
      </xdr:nvSpPr>
      <xdr:spPr>
        <a:xfrm>
          <a:off x="7924800" y="4953000"/>
          <a:ext cx="3657600" cy="2476500"/>
        </a:xfrm>
        <a:prstGeom prst="roundRect">
          <a:avLst>
            <a:gd name="adj" fmla="val 129"/>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184370</xdr:colOff>
      <xdr:row>24</xdr:row>
      <xdr:rowOff>169752</xdr:rowOff>
    </xdr:from>
    <xdr:to>
      <xdr:col>8</xdr:col>
      <xdr:colOff>0</xdr:colOff>
      <xdr:row>38</xdr:row>
      <xdr:rowOff>152588</xdr:rowOff>
    </xdr:to>
    <xdr:graphicFrame macro="">
      <xdr:nvGraphicFramePr>
        <xdr:cNvPr id="23" name="Chart 22">
          <a:extLst>
            <a:ext uri="{FF2B5EF4-FFF2-40B4-BE49-F238E27FC236}">
              <a16:creationId xmlns:a16="http://schemas.microsoft.com/office/drawing/2014/main" id="{BCAE8812-91E4-4DC3-8CED-FACBC515A8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26</xdr:row>
      <xdr:rowOff>0</xdr:rowOff>
    </xdr:from>
    <xdr:to>
      <xdr:col>9</xdr:col>
      <xdr:colOff>0</xdr:colOff>
      <xdr:row>39</xdr:row>
      <xdr:rowOff>0</xdr:rowOff>
    </xdr:to>
    <xdr:sp macro="" textlink="">
      <xdr:nvSpPr>
        <xdr:cNvPr id="22" name="Rectangle: Rounded Corners 21">
          <a:extLst>
            <a:ext uri="{FF2B5EF4-FFF2-40B4-BE49-F238E27FC236}">
              <a16:creationId xmlns:a16="http://schemas.microsoft.com/office/drawing/2014/main" id="{0F29002E-5A3D-1767-6BEA-4EE099B07549}"/>
            </a:ext>
          </a:extLst>
        </xdr:cNvPr>
        <xdr:cNvSpPr/>
      </xdr:nvSpPr>
      <xdr:spPr>
        <a:xfrm>
          <a:off x="609600" y="4953000"/>
          <a:ext cx="4876800" cy="2476500"/>
        </a:xfrm>
        <a:prstGeom prst="roundRect">
          <a:avLst>
            <a:gd name="adj" fmla="val 129"/>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16</xdr:col>
      <xdr:colOff>351293</xdr:colOff>
      <xdr:row>11</xdr:row>
      <xdr:rowOff>0</xdr:rowOff>
    </xdr:from>
    <xdr:to>
      <xdr:col>22</xdr:col>
      <xdr:colOff>398917</xdr:colOff>
      <xdr:row>24</xdr:row>
      <xdr:rowOff>0</xdr:rowOff>
    </xdr:to>
    <xdr:graphicFrame macro="">
      <xdr:nvGraphicFramePr>
        <xdr:cNvPr id="25" name="Chart 24">
          <a:extLst>
            <a:ext uri="{FF2B5EF4-FFF2-40B4-BE49-F238E27FC236}">
              <a16:creationId xmlns:a16="http://schemas.microsoft.com/office/drawing/2014/main" id="{AF233467-5F56-4A35-A02E-33BF6DAADA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21</xdr:col>
      <xdr:colOff>0</xdr:colOff>
      <xdr:row>4</xdr:row>
      <xdr:rowOff>0</xdr:rowOff>
    </xdr:from>
    <xdr:to>
      <xdr:col>27</xdr:col>
      <xdr:colOff>0</xdr:colOff>
      <xdr:row>9</xdr:row>
      <xdr:rowOff>0</xdr:rowOff>
    </xdr:to>
    <xdr:sp macro="" textlink="">
      <xdr:nvSpPr>
        <xdr:cNvPr id="26" name="Rectangle: Rounded Corners 25">
          <a:extLst>
            <a:ext uri="{FF2B5EF4-FFF2-40B4-BE49-F238E27FC236}">
              <a16:creationId xmlns:a16="http://schemas.microsoft.com/office/drawing/2014/main" id="{22CEA526-B05D-17A1-95BA-A1CECCD70FCE}"/>
            </a:ext>
          </a:extLst>
        </xdr:cNvPr>
        <xdr:cNvSpPr/>
      </xdr:nvSpPr>
      <xdr:spPr>
        <a:xfrm>
          <a:off x="12801600" y="762000"/>
          <a:ext cx="3657600" cy="952500"/>
        </a:xfrm>
        <a:prstGeom prst="roundRect">
          <a:avLst>
            <a:gd name="adj" fmla="val 124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21</xdr:col>
      <xdr:colOff>586975</xdr:colOff>
      <xdr:row>4</xdr:row>
      <xdr:rowOff>158561</xdr:rowOff>
    </xdr:from>
    <xdr:to>
      <xdr:col>23</xdr:col>
      <xdr:colOff>601930</xdr:colOff>
      <xdr:row>9</xdr:row>
      <xdr:rowOff>158561</xdr:rowOff>
    </xdr:to>
    <mc:AlternateContent xmlns:mc="http://schemas.openxmlformats.org/markup-compatibility/2006" xmlns:a14="http://schemas.microsoft.com/office/drawing/2010/main">
      <mc:Choice Requires="a14">
        <xdr:graphicFrame macro="">
          <xdr:nvGraphicFramePr>
            <xdr:cNvPr id="27" name="Department 1">
              <a:extLst>
                <a:ext uri="{FF2B5EF4-FFF2-40B4-BE49-F238E27FC236}">
                  <a16:creationId xmlns:a16="http://schemas.microsoft.com/office/drawing/2014/main" id="{EC8C19F8-C1BF-4654-9A80-DAB495D77E11}"/>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3388575" y="920561"/>
              <a:ext cx="1234155" cy="95250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4652</xdr:colOff>
      <xdr:row>5</xdr:row>
      <xdr:rowOff>22130</xdr:rowOff>
    </xdr:from>
    <xdr:to>
      <xdr:col>25</xdr:col>
      <xdr:colOff>534657</xdr:colOff>
      <xdr:row>9</xdr:row>
      <xdr:rowOff>136430</xdr:rowOff>
    </xdr:to>
    <mc:AlternateContent xmlns:mc="http://schemas.openxmlformats.org/markup-compatibility/2006" xmlns:a14="http://schemas.microsoft.com/office/drawing/2010/main">
      <mc:Choice Requires="a14">
        <xdr:graphicFrame macro="">
          <xdr:nvGraphicFramePr>
            <xdr:cNvPr id="28" name="JobRole 1">
              <a:extLst>
                <a:ext uri="{FF2B5EF4-FFF2-40B4-BE49-F238E27FC236}">
                  <a16:creationId xmlns:a16="http://schemas.microsoft.com/office/drawing/2014/main" id="{BD906068-3374-4741-A386-921BA50B0E0A}"/>
                </a:ext>
              </a:extLst>
            </xdr:cNvPr>
            <xdr:cNvGraphicFramePr/>
          </xdr:nvGraphicFramePr>
          <xdr:xfrm>
            <a:off x="0" y="0"/>
            <a:ext cx="0" cy="0"/>
          </xdr:xfrm>
          <a:graphic>
            <a:graphicData uri="http://schemas.microsoft.com/office/drawing/2010/slicer">
              <sle:slicer xmlns:sle="http://schemas.microsoft.com/office/drawing/2010/slicer" name="JobRole 1"/>
            </a:graphicData>
          </a:graphic>
        </xdr:graphicFrame>
      </mc:Choice>
      <mc:Fallback xmlns="">
        <xdr:sp macro="" textlink="">
          <xdr:nvSpPr>
            <xdr:cNvPr id="0" name=""/>
            <xdr:cNvSpPr>
              <a:spLocks noTextEdit="1"/>
            </xdr:cNvSpPr>
          </xdr:nvSpPr>
          <xdr:spPr>
            <a:xfrm>
              <a:off x="14635052" y="974630"/>
              <a:ext cx="1139605" cy="87630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535412</xdr:colOff>
      <xdr:row>4</xdr:row>
      <xdr:rowOff>186853</xdr:rowOff>
    </xdr:from>
    <xdr:to>
      <xdr:col>21</xdr:col>
      <xdr:colOff>535412</xdr:colOff>
      <xdr:row>9</xdr:row>
      <xdr:rowOff>141114</xdr:rowOff>
    </xdr:to>
    <mc:AlternateContent xmlns:mc="http://schemas.openxmlformats.org/markup-compatibility/2006" xmlns:a14="http://schemas.microsoft.com/office/drawing/2010/main">
      <mc:Choice Requires="a14">
        <xdr:graphicFrame macro="">
          <xdr:nvGraphicFramePr>
            <xdr:cNvPr id="29" name="Attrition 1">
              <a:extLst>
                <a:ext uri="{FF2B5EF4-FFF2-40B4-BE49-F238E27FC236}">
                  <a16:creationId xmlns:a16="http://schemas.microsoft.com/office/drawing/2014/main" id="{1FDD1DD1-DF6F-4971-8AA3-D1406E0E2BD1}"/>
                </a:ext>
              </a:extLst>
            </xdr:cNvPr>
            <xdr:cNvGraphicFramePr/>
          </xdr:nvGraphicFramePr>
          <xdr:xfrm>
            <a:off x="0" y="0"/>
            <a:ext cx="0" cy="0"/>
          </xdr:xfrm>
          <a:graphic>
            <a:graphicData uri="http://schemas.microsoft.com/office/drawing/2010/slicer">
              <sle:slicer xmlns:sle="http://schemas.microsoft.com/office/drawing/2010/slicer" name="Attrition 1"/>
            </a:graphicData>
          </a:graphic>
        </xdr:graphicFrame>
      </mc:Choice>
      <mc:Fallback xmlns="">
        <xdr:sp macro="" textlink="">
          <xdr:nvSpPr>
            <xdr:cNvPr id="0" name=""/>
            <xdr:cNvSpPr>
              <a:spLocks noTextEdit="1"/>
            </xdr:cNvSpPr>
          </xdr:nvSpPr>
          <xdr:spPr>
            <a:xfrm>
              <a:off x="12117812" y="948853"/>
              <a:ext cx="1219200" cy="906761"/>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533400</xdr:colOff>
      <xdr:row>12</xdr:row>
      <xdr:rowOff>57151</xdr:rowOff>
    </xdr:from>
    <xdr:to>
      <xdr:col>23</xdr:col>
      <xdr:colOff>152399</xdr:colOff>
      <xdr:row>25</xdr:row>
      <xdr:rowOff>1</xdr:rowOff>
    </xdr:to>
    <xdr:sp macro="" textlink="">
      <xdr:nvSpPr>
        <xdr:cNvPr id="24" name="Rectangle: Rounded Corners 23">
          <a:extLst>
            <a:ext uri="{FF2B5EF4-FFF2-40B4-BE49-F238E27FC236}">
              <a16:creationId xmlns:a16="http://schemas.microsoft.com/office/drawing/2014/main" id="{EE4E71C9-95E4-E299-5278-77B2EFD5DE26}"/>
            </a:ext>
          </a:extLst>
        </xdr:cNvPr>
        <xdr:cNvSpPr/>
      </xdr:nvSpPr>
      <xdr:spPr>
        <a:xfrm>
          <a:off x="10287000" y="2343151"/>
          <a:ext cx="3886199" cy="2419350"/>
        </a:xfrm>
        <a:prstGeom prst="roundRect">
          <a:avLst>
            <a:gd name="adj" fmla="val 3796"/>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175172</xdr:colOff>
      <xdr:row>39</xdr:row>
      <xdr:rowOff>164224</xdr:rowOff>
    </xdr:from>
    <xdr:to>
      <xdr:col>11</xdr:col>
      <xdr:colOff>175172</xdr:colOff>
      <xdr:row>50</xdr:row>
      <xdr:rowOff>164224</xdr:rowOff>
    </xdr:to>
    <xdr:sp macro="" textlink="">
      <xdr:nvSpPr>
        <xdr:cNvPr id="30" name="TextBox 29">
          <a:extLst>
            <a:ext uri="{FF2B5EF4-FFF2-40B4-BE49-F238E27FC236}">
              <a16:creationId xmlns:a16="http://schemas.microsoft.com/office/drawing/2014/main" id="{F8B28A97-66A4-90E1-1552-BBC28AE2DAB0}"/>
            </a:ext>
          </a:extLst>
        </xdr:cNvPr>
        <xdr:cNvSpPr txBox="1"/>
      </xdr:nvSpPr>
      <xdr:spPr>
        <a:xfrm>
          <a:off x="175172" y="7422931"/>
          <a:ext cx="6744138" cy="2047327"/>
        </a:xfrm>
        <a:prstGeom prst="rect">
          <a:avLst/>
        </a:prstGeom>
        <a:solidFill>
          <a:schemeClr val="bg2">
            <a:lumMod val="9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sz="1100"/>
        </a:p>
        <a:p>
          <a:r>
            <a:rPr lang="en-NG" sz="1100"/>
            <a:t>🔍 </a:t>
          </a:r>
          <a:r>
            <a:rPr lang="en-GB" sz="1800">
              <a:solidFill>
                <a:schemeClr val="bg2">
                  <a:lumMod val="50000"/>
                </a:schemeClr>
              </a:solidFill>
            </a:rPr>
            <a:t>Key Insights</a:t>
          </a:r>
        </a:p>
        <a:p>
          <a:endParaRPr lang="en-GB" sz="1800">
            <a:solidFill>
              <a:schemeClr val="bg2">
                <a:lumMod val="50000"/>
              </a:schemeClr>
            </a:solidFill>
          </a:endParaRPr>
        </a:p>
        <a:p>
          <a:r>
            <a:rPr lang="en-GB" sz="1800">
              <a:solidFill>
                <a:schemeClr val="bg2">
                  <a:lumMod val="50000"/>
                </a:schemeClr>
              </a:solidFill>
            </a:rPr>
            <a:t>• Overall attrition rate is 16.12%.</a:t>
          </a:r>
        </a:p>
        <a:p>
          <a:r>
            <a:rPr lang="en-GB" sz="1800">
              <a:solidFill>
                <a:schemeClr val="bg2">
                  <a:lumMod val="50000"/>
                </a:schemeClr>
              </a:solidFill>
            </a:rPr>
            <a:t>• Sales department has the highest attrition.</a:t>
          </a:r>
        </a:p>
        <a:p>
          <a:r>
            <a:rPr lang="en-GB" sz="1800">
              <a:solidFill>
                <a:schemeClr val="bg2">
                  <a:lumMod val="50000"/>
                </a:schemeClr>
              </a:solidFill>
            </a:rPr>
            <a:t>• Sales Representatives have the highest turnover among job roles.</a:t>
          </a:r>
        </a:p>
        <a:p>
          <a:r>
            <a:rPr lang="en-GB" sz="1800">
              <a:solidFill>
                <a:schemeClr val="bg2">
                  <a:lumMod val="50000"/>
                </a:schemeClr>
              </a:solidFill>
            </a:rPr>
            <a:t>• Employees working overtime are much more likely to leave.</a:t>
          </a:r>
        </a:p>
        <a:p>
          <a:r>
            <a:rPr lang="en-GB" sz="1800">
              <a:solidFill>
                <a:schemeClr val="bg2">
                  <a:lumMod val="50000"/>
                </a:schemeClr>
              </a:solidFill>
            </a:rPr>
            <a:t>• Employees aged 18–24 show the highest attrition rate.</a:t>
          </a:r>
          <a:endParaRPr lang="en-NG" sz="1800">
            <a:solidFill>
              <a:schemeClr val="bg2">
                <a:lumMod val="50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iwo" refreshedDate="46184.725230324075" createdVersion="8" refreshedVersion="8" minRefreshableVersion="3" recordCount="1471" xr:uid="{46AA9E43-5072-4F3C-9314-D38CF431DB32}">
  <cacheSource type="worksheet">
    <worksheetSource ref="A1:T1048576" sheet="HR Analysis"/>
  </cacheSource>
  <cacheFields count="21">
    <cacheField name="Age" numFmtId="0">
      <sharedItems containsString="0" containsBlank="1" containsNumber="1" containsInteger="1" minValue="18" maxValue="60"/>
    </cacheField>
    <cacheField name="Age Group" numFmtId="0">
      <sharedItems containsBlank="1" count="6">
        <s v="35-44"/>
        <s v="45-54"/>
        <s v="25-34"/>
        <s v="55+"/>
        <s v="18-24"/>
        <m/>
      </sharedItems>
    </cacheField>
    <cacheField name="Attrition" numFmtId="0">
      <sharedItems containsBlank="1" count="3">
        <s v="Yes"/>
        <s v="No"/>
        <m/>
      </sharedItems>
    </cacheField>
    <cacheField name="Attrition Count" numFmtId="0">
      <sharedItems containsString="0" containsBlank="1" containsNumber="1" containsInteger="1" minValue="237" maxValue="237"/>
    </cacheField>
    <cacheField name="Attrition Rate" numFmtId="9">
      <sharedItems containsString="0" containsBlank="1" containsNumber="1" minValue="0.16122448979591836" maxValue="0.16122448979591836"/>
    </cacheField>
    <cacheField name="BusinessTravel" numFmtId="0">
      <sharedItems containsBlank="1"/>
    </cacheField>
    <cacheField name="DailyRate" numFmtId="0">
      <sharedItems containsString="0" containsBlank="1" containsNumber="1" containsInteger="1" minValue="102" maxValue="1499"/>
    </cacheField>
    <cacheField name="Department" numFmtId="0">
      <sharedItems containsBlank="1" count="4">
        <s v="Sales"/>
        <s v="Research &amp; Development"/>
        <s v="Human Resources"/>
        <m/>
      </sharedItems>
    </cacheField>
    <cacheField name="DistanceFromHome" numFmtId="0">
      <sharedItems containsString="0" containsBlank="1" containsNumber="1" containsInteger="1" minValue="1" maxValue="29"/>
    </cacheField>
    <cacheField name="Education" numFmtId="0">
      <sharedItems containsString="0" containsBlank="1" containsNumber="1" containsInteger="1" minValue="1" maxValue="5"/>
    </cacheField>
    <cacheField name="EducationField" numFmtId="0">
      <sharedItems containsBlank="1" count="7">
        <s v="Life Sciences"/>
        <s v="Other"/>
        <s v="Medical"/>
        <s v="Marketing"/>
        <s v="Technical Degree"/>
        <s v="Human Resources"/>
        <m/>
      </sharedItems>
    </cacheField>
    <cacheField name="EmployeeCount" numFmtId="0">
      <sharedItems containsString="0" containsBlank="1" containsNumber="1" containsInteger="1" minValue="1" maxValue="1"/>
    </cacheField>
    <cacheField name="EmployeeNumber" numFmtId="0">
      <sharedItems containsString="0" containsBlank="1" containsNumber="1" containsInteger="1" minValue="1" maxValue="2068"/>
    </cacheField>
    <cacheField name="Total Employees" numFmtId="0">
      <sharedItems containsString="0" containsBlank="1" containsNumber="1" containsInteger="1" minValue="1470" maxValue="1470"/>
    </cacheField>
    <cacheField name="EnvironmentSatisfaction" numFmtId="0">
      <sharedItems containsString="0" containsBlank="1" containsNumber="1" containsInteger="1" minValue="1" maxValue="4"/>
    </cacheField>
    <cacheField name="JobLevel" numFmtId="0">
      <sharedItems containsString="0" containsBlank="1" containsNumber="1" containsInteger="1" minValue="1" maxValue="5" count="6">
        <n v="2"/>
        <n v="1"/>
        <n v="3"/>
        <n v="4"/>
        <n v="5"/>
        <m/>
      </sharedItems>
    </cacheField>
    <cacheField name="JobRole" numFmtId="0">
      <sharedItems containsBlank="1" count="10">
        <s v="Sales Executive"/>
        <s v="Research Scientist"/>
        <s v="Laboratory Technician"/>
        <s v="Manufacturing Director"/>
        <s v="Healthcare Representative"/>
        <s v="Manager"/>
        <s v="Sales Representative"/>
        <s v="Research Director"/>
        <s v="Human Resources"/>
        <m/>
      </sharedItems>
    </cacheField>
    <cacheField name="JobSatisfaction" numFmtId="0">
      <sharedItems containsString="0" containsBlank="1" containsNumber="1" containsInteger="1" minValue="1" maxValue="4" count="5">
        <n v="4"/>
        <n v="2"/>
        <n v="3"/>
        <n v="1"/>
        <m/>
      </sharedItems>
    </cacheField>
    <cacheField name="MonthlyIncome" numFmtId="0">
      <sharedItems containsString="0" containsBlank="1" containsNumber="1" containsInteger="1" minValue="1009" maxValue="19999"/>
    </cacheField>
    <cacheField name="OverTime" numFmtId="0">
      <sharedItems containsBlank="1" count="3">
        <s v="Yes"/>
        <s v="No"/>
        <m/>
      </sharedItems>
    </cacheField>
    <cacheField name="Jan" numFmtId="0">
      <sharedItems containsBlank="1"/>
    </cacheField>
  </cacheFields>
  <extLst>
    <ext xmlns:x14="http://schemas.microsoft.com/office/spreadsheetml/2009/9/main" uri="{725AE2AE-9491-48be-B2B4-4EB974FC3084}">
      <x14:pivotCacheDefinition pivotCacheId="102705712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1">
  <r>
    <n v="41"/>
    <x v="0"/>
    <x v="0"/>
    <n v="237"/>
    <n v="0.16122448979591836"/>
    <s v="Travel_Rarely"/>
    <n v="1102"/>
    <x v="0"/>
    <n v="1"/>
    <n v="2"/>
    <x v="0"/>
    <n v="1"/>
    <n v="1"/>
    <n v="1470"/>
    <n v="2"/>
    <x v="0"/>
    <x v="0"/>
    <x v="0"/>
    <n v="5993"/>
    <x v="0"/>
    <s v="Jan"/>
  </r>
  <r>
    <n v="49"/>
    <x v="1"/>
    <x v="1"/>
    <m/>
    <m/>
    <s v="Travel_Frequently"/>
    <n v="279"/>
    <x v="1"/>
    <n v="8"/>
    <n v="1"/>
    <x v="0"/>
    <n v="1"/>
    <n v="2"/>
    <m/>
    <n v="3"/>
    <x v="0"/>
    <x v="1"/>
    <x v="1"/>
    <n v="5130"/>
    <x v="1"/>
    <s v="Jan"/>
  </r>
  <r>
    <n v="37"/>
    <x v="0"/>
    <x v="0"/>
    <m/>
    <m/>
    <s v="Travel_Rarely"/>
    <n v="1373"/>
    <x v="1"/>
    <n v="2"/>
    <n v="2"/>
    <x v="1"/>
    <n v="1"/>
    <n v="4"/>
    <m/>
    <n v="4"/>
    <x v="1"/>
    <x v="2"/>
    <x v="2"/>
    <n v="2090"/>
    <x v="0"/>
    <s v="Jan"/>
  </r>
  <r>
    <n v="33"/>
    <x v="2"/>
    <x v="1"/>
    <m/>
    <m/>
    <s v="Travel_Frequently"/>
    <n v="1392"/>
    <x v="1"/>
    <n v="3"/>
    <n v="4"/>
    <x v="0"/>
    <n v="1"/>
    <n v="5"/>
    <m/>
    <n v="4"/>
    <x v="1"/>
    <x v="1"/>
    <x v="2"/>
    <n v="2909"/>
    <x v="0"/>
    <s v="Jan"/>
  </r>
  <r>
    <n v="27"/>
    <x v="2"/>
    <x v="1"/>
    <m/>
    <m/>
    <s v="Travel_Rarely"/>
    <n v="591"/>
    <x v="1"/>
    <n v="2"/>
    <n v="1"/>
    <x v="2"/>
    <n v="1"/>
    <n v="7"/>
    <m/>
    <n v="1"/>
    <x v="1"/>
    <x v="2"/>
    <x v="1"/>
    <n v="3468"/>
    <x v="1"/>
    <s v="Jan"/>
  </r>
  <r>
    <n v="32"/>
    <x v="2"/>
    <x v="1"/>
    <m/>
    <m/>
    <s v="Travel_Frequently"/>
    <n v="1005"/>
    <x v="1"/>
    <n v="2"/>
    <n v="2"/>
    <x v="0"/>
    <n v="1"/>
    <n v="8"/>
    <m/>
    <n v="4"/>
    <x v="1"/>
    <x v="2"/>
    <x v="0"/>
    <n v="3068"/>
    <x v="1"/>
    <s v="Jan"/>
  </r>
  <r>
    <n v="59"/>
    <x v="3"/>
    <x v="1"/>
    <m/>
    <m/>
    <s v="Travel_Rarely"/>
    <n v="1324"/>
    <x v="1"/>
    <n v="3"/>
    <n v="3"/>
    <x v="2"/>
    <n v="1"/>
    <n v="10"/>
    <m/>
    <n v="3"/>
    <x v="1"/>
    <x v="2"/>
    <x v="3"/>
    <n v="2670"/>
    <x v="0"/>
    <s v="Jan"/>
  </r>
  <r>
    <n v="30"/>
    <x v="2"/>
    <x v="1"/>
    <m/>
    <m/>
    <s v="Travel_Rarely"/>
    <n v="1358"/>
    <x v="1"/>
    <n v="24"/>
    <n v="1"/>
    <x v="0"/>
    <n v="1"/>
    <n v="11"/>
    <m/>
    <n v="4"/>
    <x v="1"/>
    <x v="2"/>
    <x v="2"/>
    <n v="2693"/>
    <x v="1"/>
    <s v="Jan"/>
  </r>
  <r>
    <n v="38"/>
    <x v="0"/>
    <x v="1"/>
    <m/>
    <m/>
    <s v="Travel_Frequently"/>
    <n v="216"/>
    <x v="1"/>
    <n v="23"/>
    <n v="3"/>
    <x v="0"/>
    <n v="1"/>
    <n v="12"/>
    <m/>
    <n v="4"/>
    <x v="2"/>
    <x v="3"/>
    <x v="2"/>
    <n v="9526"/>
    <x v="1"/>
    <s v="Jan"/>
  </r>
  <r>
    <n v="36"/>
    <x v="0"/>
    <x v="1"/>
    <m/>
    <m/>
    <s v="Travel_Rarely"/>
    <n v="1299"/>
    <x v="1"/>
    <n v="27"/>
    <n v="3"/>
    <x v="2"/>
    <n v="1"/>
    <n v="13"/>
    <m/>
    <n v="3"/>
    <x v="0"/>
    <x v="4"/>
    <x v="2"/>
    <n v="5237"/>
    <x v="1"/>
    <s v="Jan"/>
  </r>
  <r>
    <n v="35"/>
    <x v="0"/>
    <x v="1"/>
    <m/>
    <m/>
    <s v="Travel_Rarely"/>
    <n v="809"/>
    <x v="1"/>
    <n v="16"/>
    <n v="3"/>
    <x v="2"/>
    <n v="1"/>
    <n v="14"/>
    <m/>
    <n v="1"/>
    <x v="1"/>
    <x v="2"/>
    <x v="1"/>
    <n v="2426"/>
    <x v="1"/>
    <s v="Jan"/>
  </r>
  <r>
    <n v="29"/>
    <x v="2"/>
    <x v="1"/>
    <m/>
    <m/>
    <s v="Travel_Rarely"/>
    <n v="153"/>
    <x v="1"/>
    <n v="15"/>
    <n v="2"/>
    <x v="0"/>
    <n v="1"/>
    <n v="15"/>
    <m/>
    <n v="4"/>
    <x v="0"/>
    <x v="2"/>
    <x v="2"/>
    <n v="4193"/>
    <x v="0"/>
    <s v="Jan"/>
  </r>
  <r>
    <n v="31"/>
    <x v="2"/>
    <x v="1"/>
    <m/>
    <m/>
    <s v="Travel_Rarely"/>
    <n v="670"/>
    <x v="1"/>
    <n v="26"/>
    <n v="1"/>
    <x v="0"/>
    <n v="1"/>
    <n v="16"/>
    <m/>
    <n v="1"/>
    <x v="1"/>
    <x v="1"/>
    <x v="2"/>
    <n v="2911"/>
    <x v="1"/>
    <s v="Jan"/>
  </r>
  <r>
    <n v="34"/>
    <x v="2"/>
    <x v="1"/>
    <m/>
    <m/>
    <s v="Travel_Rarely"/>
    <n v="1346"/>
    <x v="1"/>
    <n v="19"/>
    <n v="2"/>
    <x v="2"/>
    <n v="1"/>
    <n v="18"/>
    <m/>
    <n v="2"/>
    <x v="1"/>
    <x v="2"/>
    <x v="0"/>
    <n v="2661"/>
    <x v="1"/>
    <s v="Jan"/>
  </r>
  <r>
    <n v="28"/>
    <x v="2"/>
    <x v="0"/>
    <m/>
    <m/>
    <s v="Travel_Rarely"/>
    <n v="103"/>
    <x v="1"/>
    <n v="24"/>
    <n v="3"/>
    <x v="0"/>
    <n v="1"/>
    <n v="19"/>
    <m/>
    <n v="3"/>
    <x v="1"/>
    <x v="2"/>
    <x v="2"/>
    <n v="2028"/>
    <x v="0"/>
    <s v="Jan"/>
  </r>
  <r>
    <n v="29"/>
    <x v="2"/>
    <x v="1"/>
    <m/>
    <m/>
    <s v="Travel_Rarely"/>
    <n v="1389"/>
    <x v="1"/>
    <n v="21"/>
    <n v="4"/>
    <x v="0"/>
    <n v="1"/>
    <n v="20"/>
    <m/>
    <n v="2"/>
    <x v="2"/>
    <x v="3"/>
    <x v="3"/>
    <n v="9980"/>
    <x v="1"/>
    <s v="Jan"/>
  </r>
  <r>
    <n v="32"/>
    <x v="2"/>
    <x v="1"/>
    <m/>
    <m/>
    <s v="Travel_Rarely"/>
    <n v="334"/>
    <x v="1"/>
    <n v="5"/>
    <n v="2"/>
    <x v="0"/>
    <n v="1"/>
    <n v="21"/>
    <m/>
    <n v="1"/>
    <x v="1"/>
    <x v="1"/>
    <x v="1"/>
    <n v="3298"/>
    <x v="0"/>
    <s v="Jan"/>
  </r>
  <r>
    <n v="22"/>
    <x v="4"/>
    <x v="1"/>
    <m/>
    <m/>
    <s v="Non-Travel"/>
    <n v="1123"/>
    <x v="1"/>
    <n v="16"/>
    <n v="2"/>
    <x v="2"/>
    <n v="1"/>
    <n v="22"/>
    <m/>
    <n v="4"/>
    <x v="1"/>
    <x v="2"/>
    <x v="0"/>
    <n v="2935"/>
    <x v="0"/>
    <s v="Jan"/>
  </r>
  <r>
    <n v="53"/>
    <x v="1"/>
    <x v="1"/>
    <m/>
    <m/>
    <s v="Travel_Rarely"/>
    <n v="1219"/>
    <x v="0"/>
    <n v="2"/>
    <n v="4"/>
    <x v="0"/>
    <n v="1"/>
    <n v="23"/>
    <m/>
    <n v="1"/>
    <x v="3"/>
    <x v="5"/>
    <x v="0"/>
    <n v="15427"/>
    <x v="1"/>
    <s v="Jan"/>
  </r>
  <r>
    <n v="38"/>
    <x v="0"/>
    <x v="1"/>
    <m/>
    <m/>
    <s v="Travel_Rarely"/>
    <n v="371"/>
    <x v="1"/>
    <n v="2"/>
    <n v="3"/>
    <x v="0"/>
    <n v="1"/>
    <n v="24"/>
    <m/>
    <n v="4"/>
    <x v="1"/>
    <x v="1"/>
    <x v="0"/>
    <n v="3944"/>
    <x v="0"/>
    <s v="Jan"/>
  </r>
  <r>
    <n v="24"/>
    <x v="4"/>
    <x v="1"/>
    <m/>
    <m/>
    <s v="Non-Travel"/>
    <n v="673"/>
    <x v="1"/>
    <n v="11"/>
    <n v="2"/>
    <x v="1"/>
    <n v="1"/>
    <n v="26"/>
    <m/>
    <n v="1"/>
    <x v="0"/>
    <x v="3"/>
    <x v="2"/>
    <n v="4011"/>
    <x v="1"/>
    <s v="Jan"/>
  </r>
  <r>
    <n v="36"/>
    <x v="0"/>
    <x v="0"/>
    <m/>
    <m/>
    <s v="Travel_Rarely"/>
    <n v="1218"/>
    <x v="0"/>
    <n v="9"/>
    <n v="4"/>
    <x v="0"/>
    <n v="1"/>
    <n v="27"/>
    <m/>
    <n v="3"/>
    <x v="1"/>
    <x v="6"/>
    <x v="3"/>
    <n v="3407"/>
    <x v="1"/>
    <s v="Jan"/>
  </r>
  <r>
    <n v="34"/>
    <x v="2"/>
    <x v="1"/>
    <m/>
    <m/>
    <s v="Travel_Rarely"/>
    <n v="419"/>
    <x v="1"/>
    <n v="7"/>
    <n v="4"/>
    <x v="0"/>
    <n v="1"/>
    <n v="28"/>
    <m/>
    <n v="1"/>
    <x v="2"/>
    <x v="7"/>
    <x v="1"/>
    <n v="11994"/>
    <x v="1"/>
    <s v="Jan"/>
  </r>
  <r>
    <n v="21"/>
    <x v="4"/>
    <x v="1"/>
    <m/>
    <m/>
    <s v="Travel_Rarely"/>
    <n v="391"/>
    <x v="1"/>
    <n v="15"/>
    <n v="2"/>
    <x v="0"/>
    <n v="1"/>
    <n v="30"/>
    <m/>
    <n v="3"/>
    <x v="1"/>
    <x v="1"/>
    <x v="0"/>
    <n v="1232"/>
    <x v="1"/>
    <s v="Jan"/>
  </r>
  <r>
    <n v="34"/>
    <x v="2"/>
    <x v="0"/>
    <m/>
    <m/>
    <s v="Travel_Rarely"/>
    <n v="699"/>
    <x v="1"/>
    <n v="6"/>
    <n v="1"/>
    <x v="2"/>
    <n v="1"/>
    <n v="31"/>
    <m/>
    <n v="2"/>
    <x v="1"/>
    <x v="1"/>
    <x v="3"/>
    <n v="2960"/>
    <x v="1"/>
    <s v="Jan"/>
  </r>
  <r>
    <n v="53"/>
    <x v="1"/>
    <x v="1"/>
    <m/>
    <m/>
    <s v="Travel_Rarely"/>
    <n v="1282"/>
    <x v="1"/>
    <n v="5"/>
    <n v="3"/>
    <x v="1"/>
    <n v="1"/>
    <n v="32"/>
    <m/>
    <n v="3"/>
    <x v="4"/>
    <x v="5"/>
    <x v="2"/>
    <n v="19094"/>
    <x v="1"/>
    <s v="Jan"/>
  </r>
  <r>
    <n v="32"/>
    <x v="2"/>
    <x v="0"/>
    <m/>
    <m/>
    <s v="Travel_Frequently"/>
    <n v="1125"/>
    <x v="1"/>
    <n v="16"/>
    <n v="1"/>
    <x v="0"/>
    <n v="1"/>
    <n v="33"/>
    <m/>
    <n v="2"/>
    <x v="1"/>
    <x v="1"/>
    <x v="3"/>
    <n v="3919"/>
    <x v="0"/>
    <s v="Jan"/>
  </r>
  <r>
    <n v="42"/>
    <x v="0"/>
    <x v="1"/>
    <m/>
    <m/>
    <s v="Travel_Rarely"/>
    <n v="691"/>
    <x v="0"/>
    <n v="8"/>
    <n v="4"/>
    <x v="3"/>
    <n v="1"/>
    <n v="35"/>
    <m/>
    <n v="3"/>
    <x v="0"/>
    <x v="0"/>
    <x v="1"/>
    <n v="6825"/>
    <x v="1"/>
    <s v="Jan"/>
  </r>
  <r>
    <n v="44"/>
    <x v="0"/>
    <x v="1"/>
    <m/>
    <m/>
    <s v="Travel_Rarely"/>
    <n v="477"/>
    <x v="1"/>
    <n v="7"/>
    <n v="4"/>
    <x v="2"/>
    <n v="1"/>
    <n v="36"/>
    <m/>
    <n v="1"/>
    <x v="2"/>
    <x v="4"/>
    <x v="0"/>
    <n v="10248"/>
    <x v="1"/>
    <s v="Jan"/>
  </r>
  <r>
    <n v="46"/>
    <x v="1"/>
    <x v="1"/>
    <m/>
    <m/>
    <s v="Travel_Rarely"/>
    <n v="705"/>
    <x v="0"/>
    <n v="2"/>
    <n v="4"/>
    <x v="3"/>
    <n v="1"/>
    <n v="38"/>
    <m/>
    <n v="2"/>
    <x v="4"/>
    <x v="5"/>
    <x v="3"/>
    <n v="18947"/>
    <x v="1"/>
    <s v="Jan"/>
  </r>
  <r>
    <n v="33"/>
    <x v="2"/>
    <x v="1"/>
    <m/>
    <m/>
    <s v="Travel_Rarely"/>
    <n v="924"/>
    <x v="1"/>
    <n v="2"/>
    <n v="3"/>
    <x v="2"/>
    <n v="1"/>
    <n v="39"/>
    <m/>
    <n v="3"/>
    <x v="1"/>
    <x v="2"/>
    <x v="0"/>
    <n v="2496"/>
    <x v="1"/>
    <s v="Jan"/>
  </r>
  <r>
    <n v="44"/>
    <x v="0"/>
    <x v="1"/>
    <m/>
    <m/>
    <s v="Travel_Rarely"/>
    <n v="1459"/>
    <x v="1"/>
    <n v="10"/>
    <n v="4"/>
    <x v="1"/>
    <n v="1"/>
    <n v="40"/>
    <m/>
    <n v="4"/>
    <x v="0"/>
    <x v="4"/>
    <x v="0"/>
    <n v="6465"/>
    <x v="0"/>
    <s v="Jan"/>
  </r>
  <r>
    <n v="30"/>
    <x v="2"/>
    <x v="1"/>
    <m/>
    <m/>
    <s v="Travel_Rarely"/>
    <n v="125"/>
    <x v="1"/>
    <n v="9"/>
    <n v="2"/>
    <x v="2"/>
    <n v="1"/>
    <n v="41"/>
    <m/>
    <n v="4"/>
    <x v="1"/>
    <x v="2"/>
    <x v="2"/>
    <n v="2206"/>
    <x v="1"/>
    <s v="Jan"/>
  </r>
  <r>
    <n v="39"/>
    <x v="0"/>
    <x v="0"/>
    <m/>
    <m/>
    <s v="Travel_Rarely"/>
    <n v="895"/>
    <x v="0"/>
    <n v="5"/>
    <n v="3"/>
    <x v="4"/>
    <n v="1"/>
    <n v="42"/>
    <m/>
    <n v="4"/>
    <x v="0"/>
    <x v="6"/>
    <x v="0"/>
    <n v="2086"/>
    <x v="1"/>
    <s v="Jan"/>
  </r>
  <r>
    <n v="24"/>
    <x v="4"/>
    <x v="0"/>
    <m/>
    <m/>
    <s v="Travel_Rarely"/>
    <n v="813"/>
    <x v="1"/>
    <n v="1"/>
    <n v="3"/>
    <x v="2"/>
    <n v="1"/>
    <n v="45"/>
    <m/>
    <n v="2"/>
    <x v="1"/>
    <x v="1"/>
    <x v="0"/>
    <n v="2293"/>
    <x v="0"/>
    <s v="Jan"/>
  </r>
  <r>
    <n v="43"/>
    <x v="0"/>
    <x v="1"/>
    <m/>
    <m/>
    <s v="Travel_Rarely"/>
    <n v="1273"/>
    <x v="1"/>
    <n v="2"/>
    <n v="2"/>
    <x v="2"/>
    <n v="1"/>
    <n v="46"/>
    <m/>
    <n v="4"/>
    <x v="1"/>
    <x v="1"/>
    <x v="2"/>
    <n v="2645"/>
    <x v="1"/>
    <s v="Jan"/>
  </r>
  <r>
    <n v="50"/>
    <x v="1"/>
    <x v="0"/>
    <m/>
    <m/>
    <s v="Travel_Rarely"/>
    <n v="869"/>
    <x v="0"/>
    <n v="3"/>
    <n v="2"/>
    <x v="3"/>
    <n v="1"/>
    <n v="47"/>
    <m/>
    <n v="1"/>
    <x v="1"/>
    <x v="6"/>
    <x v="2"/>
    <n v="2683"/>
    <x v="0"/>
    <s v="Jan"/>
  </r>
  <r>
    <n v="35"/>
    <x v="0"/>
    <x v="1"/>
    <m/>
    <m/>
    <s v="Travel_Rarely"/>
    <n v="890"/>
    <x v="0"/>
    <n v="2"/>
    <n v="3"/>
    <x v="3"/>
    <n v="1"/>
    <n v="49"/>
    <m/>
    <n v="4"/>
    <x v="1"/>
    <x v="6"/>
    <x v="0"/>
    <n v="2014"/>
    <x v="1"/>
    <s v="Jan"/>
  </r>
  <r>
    <n v="36"/>
    <x v="0"/>
    <x v="1"/>
    <m/>
    <m/>
    <s v="Travel_Rarely"/>
    <n v="852"/>
    <x v="1"/>
    <n v="5"/>
    <n v="4"/>
    <x v="0"/>
    <n v="1"/>
    <n v="51"/>
    <m/>
    <n v="2"/>
    <x v="1"/>
    <x v="1"/>
    <x v="3"/>
    <n v="3419"/>
    <x v="0"/>
    <s v="Jan"/>
  </r>
  <r>
    <n v="33"/>
    <x v="2"/>
    <x v="1"/>
    <m/>
    <m/>
    <s v="Travel_Frequently"/>
    <n v="1141"/>
    <x v="0"/>
    <n v="1"/>
    <n v="3"/>
    <x v="0"/>
    <n v="1"/>
    <n v="52"/>
    <m/>
    <n v="3"/>
    <x v="0"/>
    <x v="0"/>
    <x v="3"/>
    <n v="5376"/>
    <x v="1"/>
    <s v="Jan"/>
  </r>
  <r>
    <n v="35"/>
    <x v="0"/>
    <x v="1"/>
    <m/>
    <m/>
    <s v="Travel_Rarely"/>
    <n v="464"/>
    <x v="1"/>
    <n v="4"/>
    <n v="2"/>
    <x v="1"/>
    <n v="1"/>
    <n v="53"/>
    <m/>
    <n v="3"/>
    <x v="1"/>
    <x v="2"/>
    <x v="0"/>
    <n v="1951"/>
    <x v="1"/>
    <s v="Jan"/>
  </r>
  <r>
    <n v="27"/>
    <x v="2"/>
    <x v="1"/>
    <m/>
    <m/>
    <s v="Travel_Rarely"/>
    <n v="1240"/>
    <x v="1"/>
    <n v="2"/>
    <n v="4"/>
    <x v="0"/>
    <n v="1"/>
    <n v="54"/>
    <m/>
    <n v="4"/>
    <x v="1"/>
    <x v="2"/>
    <x v="3"/>
    <n v="2341"/>
    <x v="1"/>
    <s v="Jan"/>
  </r>
  <r>
    <n v="26"/>
    <x v="2"/>
    <x v="0"/>
    <m/>
    <m/>
    <s v="Travel_Rarely"/>
    <n v="1357"/>
    <x v="1"/>
    <n v="25"/>
    <n v="3"/>
    <x v="0"/>
    <n v="1"/>
    <n v="55"/>
    <m/>
    <n v="1"/>
    <x v="1"/>
    <x v="2"/>
    <x v="2"/>
    <n v="2293"/>
    <x v="1"/>
    <s v="Jan"/>
  </r>
  <r>
    <n v="27"/>
    <x v="2"/>
    <x v="1"/>
    <m/>
    <m/>
    <s v="Travel_Frequently"/>
    <n v="994"/>
    <x v="0"/>
    <n v="8"/>
    <n v="3"/>
    <x v="0"/>
    <n v="1"/>
    <n v="56"/>
    <m/>
    <n v="4"/>
    <x v="2"/>
    <x v="0"/>
    <x v="2"/>
    <n v="8726"/>
    <x v="1"/>
    <s v="Jan"/>
  </r>
  <r>
    <n v="30"/>
    <x v="2"/>
    <x v="1"/>
    <m/>
    <m/>
    <s v="Travel_Frequently"/>
    <n v="721"/>
    <x v="1"/>
    <n v="1"/>
    <n v="2"/>
    <x v="2"/>
    <n v="1"/>
    <n v="57"/>
    <m/>
    <n v="3"/>
    <x v="0"/>
    <x v="2"/>
    <x v="0"/>
    <n v="4011"/>
    <x v="1"/>
    <s v="Jan"/>
  </r>
  <r>
    <n v="41"/>
    <x v="0"/>
    <x v="0"/>
    <m/>
    <m/>
    <s v="Travel_Rarely"/>
    <n v="1360"/>
    <x v="1"/>
    <n v="12"/>
    <n v="3"/>
    <x v="4"/>
    <n v="1"/>
    <n v="58"/>
    <m/>
    <n v="2"/>
    <x v="4"/>
    <x v="7"/>
    <x v="2"/>
    <n v="19545"/>
    <x v="1"/>
    <s v="Jan"/>
  </r>
  <r>
    <n v="34"/>
    <x v="2"/>
    <x v="1"/>
    <m/>
    <m/>
    <s v="Non-Travel"/>
    <n v="1065"/>
    <x v="0"/>
    <n v="23"/>
    <n v="4"/>
    <x v="3"/>
    <n v="1"/>
    <n v="60"/>
    <m/>
    <n v="2"/>
    <x v="0"/>
    <x v="0"/>
    <x v="2"/>
    <n v="4568"/>
    <x v="1"/>
    <s v="Jan"/>
  </r>
  <r>
    <n v="37"/>
    <x v="0"/>
    <x v="1"/>
    <m/>
    <m/>
    <s v="Travel_Rarely"/>
    <n v="408"/>
    <x v="1"/>
    <n v="19"/>
    <n v="2"/>
    <x v="0"/>
    <n v="1"/>
    <n v="61"/>
    <m/>
    <n v="2"/>
    <x v="1"/>
    <x v="1"/>
    <x v="1"/>
    <n v="3022"/>
    <x v="1"/>
    <s v="Jan"/>
  </r>
  <r>
    <n v="46"/>
    <x v="1"/>
    <x v="1"/>
    <m/>
    <m/>
    <s v="Travel_Frequently"/>
    <n v="1211"/>
    <x v="0"/>
    <n v="5"/>
    <n v="4"/>
    <x v="3"/>
    <n v="1"/>
    <n v="62"/>
    <m/>
    <n v="1"/>
    <x v="0"/>
    <x v="0"/>
    <x v="0"/>
    <n v="5772"/>
    <x v="0"/>
    <s v="Jan"/>
  </r>
  <r>
    <n v="35"/>
    <x v="0"/>
    <x v="1"/>
    <m/>
    <m/>
    <s v="Travel_Rarely"/>
    <n v="1229"/>
    <x v="1"/>
    <n v="8"/>
    <n v="1"/>
    <x v="0"/>
    <n v="1"/>
    <n v="63"/>
    <m/>
    <n v="4"/>
    <x v="1"/>
    <x v="2"/>
    <x v="0"/>
    <n v="2269"/>
    <x v="1"/>
    <s v="Jan"/>
  </r>
  <r>
    <n v="48"/>
    <x v="1"/>
    <x v="0"/>
    <m/>
    <m/>
    <s v="Travel_Rarely"/>
    <n v="626"/>
    <x v="1"/>
    <n v="1"/>
    <n v="2"/>
    <x v="0"/>
    <n v="1"/>
    <n v="64"/>
    <m/>
    <n v="1"/>
    <x v="2"/>
    <x v="2"/>
    <x v="2"/>
    <n v="5381"/>
    <x v="0"/>
    <s v="Jan"/>
  </r>
  <r>
    <n v="28"/>
    <x v="2"/>
    <x v="0"/>
    <m/>
    <m/>
    <s v="Travel_Rarely"/>
    <n v="1434"/>
    <x v="1"/>
    <n v="5"/>
    <n v="4"/>
    <x v="4"/>
    <n v="1"/>
    <n v="65"/>
    <m/>
    <n v="3"/>
    <x v="1"/>
    <x v="2"/>
    <x v="2"/>
    <n v="3441"/>
    <x v="0"/>
    <s v="Jan"/>
  </r>
  <r>
    <n v="44"/>
    <x v="0"/>
    <x v="1"/>
    <m/>
    <m/>
    <s v="Travel_Rarely"/>
    <n v="1488"/>
    <x v="0"/>
    <n v="1"/>
    <n v="5"/>
    <x v="3"/>
    <n v="1"/>
    <n v="68"/>
    <m/>
    <n v="2"/>
    <x v="0"/>
    <x v="0"/>
    <x v="3"/>
    <n v="5454"/>
    <x v="0"/>
    <s v="Jan"/>
  </r>
  <r>
    <n v="35"/>
    <x v="0"/>
    <x v="1"/>
    <m/>
    <m/>
    <s v="Non-Travel"/>
    <n v="1097"/>
    <x v="1"/>
    <n v="11"/>
    <n v="2"/>
    <x v="2"/>
    <n v="1"/>
    <n v="70"/>
    <m/>
    <n v="3"/>
    <x v="2"/>
    <x v="4"/>
    <x v="3"/>
    <n v="9884"/>
    <x v="0"/>
    <s v="Jan"/>
  </r>
  <r>
    <n v="26"/>
    <x v="2"/>
    <x v="1"/>
    <m/>
    <m/>
    <s v="Travel_Rarely"/>
    <n v="1443"/>
    <x v="0"/>
    <n v="23"/>
    <n v="3"/>
    <x v="3"/>
    <n v="1"/>
    <n v="72"/>
    <m/>
    <n v="3"/>
    <x v="0"/>
    <x v="0"/>
    <x v="0"/>
    <n v="4157"/>
    <x v="0"/>
    <s v="Jan"/>
  </r>
  <r>
    <n v="33"/>
    <x v="2"/>
    <x v="1"/>
    <m/>
    <m/>
    <s v="Travel_Frequently"/>
    <n v="515"/>
    <x v="1"/>
    <n v="1"/>
    <n v="2"/>
    <x v="0"/>
    <n v="1"/>
    <n v="73"/>
    <m/>
    <n v="1"/>
    <x v="2"/>
    <x v="7"/>
    <x v="0"/>
    <n v="13458"/>
    <x v="0"/>
    <s v="Jan"/>
  </r>
  <r>
    <n v="35"/>
    <x v="0"/>
    <x v="1"/>
    <m/>
    <m/>
    <s v="Travel_Frequently"/>
    <n v="853"/>
    <x v="0"/>
    <n v="18"/>
    <n v="5"/>
    <x v="0"/>
    <n v="1"/>
    <n v="74"/>
    <m/>
    <n v="2"/>
    <x v="2"/>
    <x v="0"/>
    <x v="3"/>
    <n v="9069"/>
    <x v="1"/>
    <s v="Jan"/>
  </r>
  <r>
    <n v="35"/>
    <x v="0"/>
    <x v="1"/>
    <m/>
    <m/>
    <s v="Travel_Rarely"/>
    <n v="1142"/>
    <x v="1"/>
    <n v="23"/>
    <n v="4"/>
    <x v="2"/>
    <n v="1"/>
    <n v="75"/>
    <m/>
    <n v="3"/>
    <x v="1"/>
    <x v="2"/>
    <x v="3"/>
    <n v="4014"/>
    <x v="0"/>
    <s v="Jan"/>
  </r>
  <r>
    <n v="31"/>
    <x v="2"/>
    <x v="1"/>
    <m/>
    <m/>
    <s v="Travel_Rarely"/>
    <n v="655"/>
    <x v="1"/>
    <n v="7"/>
    <n v="4"/>
    <x v="0"/>
    <n v="1"/>
    <n v="76"/>
    <m/>
    <n v="4"/>
    <x v="0"/>
    <x v="2"/>
    <x v="0"/>
    <n v="5915"/>
    <x v="1"/>
    <s v="Jan"/>
  </r>
  <r>
    <n v="37"/>
    <x v="0"/>
    <x v="1"/>
    <m/>
    <m/>
    <s v="Travel_Rarely"/>
    <n v="1115"/>
    <x v="1"/>
    <n v="1"/>
    <n v="4"/>
    <x v="0"/>
    <n v="1"/>
    <n v="77"/>
    <m/>
    <n v="1"/>
    <x v="0"/>
    <x v="3"/>
    <x v="2"/>
    <n v="5993"/>
    <x v="1"/>
    <s v="Jan"/>
  </r>
  <r>
    <n v="32"/>
    <x v="2"/>
    <x v="1"/>
    <m/>
    <m/>
    <s v="Travel_Rarely"/>
    <n v="427"/>
    <x v="1"/>
    <n v="1"/>
    <n v="3"/>
    <x v="2"/>
    <n v="1"/>
    <n v="78"/>
    <m/>
    <n v="1"/>
    <x v="0"/>
    <x v="3"/>
    <x v="0"/>
    <n v="6162"/>
    <x v="0"/>
    <s v="Jan"/>
  </r>
  <r>
    <n v="38"/>
    <x v="0"/>
    <x v="1"/>
    <m/>
    <m/>
    <s v="Travel_Frequently"/>
    <n v="653"/>
    <x v="1"/>
    <n v="29"/>
    <n v="5"/>
    <x v="0"/>
    <n v="1"/>
    <n v="79"/>
    <m/>
    <n v="4"/>
    <x v="0"/>
    <x v="2"/>
    <x v="0"/>
    <n v="2406"/>
    <x v="1"/>
    <s v="Jan"/>
  </r>
  <r>
    <n v="50"/>
    <x v="1"/>
    <x v="1"/>
    <m/>
    <m/>
    <s v="Travel_Rarely"/>
    <n v="989"/>
    <x v="1"/>
    <n v="7"/>
    <n v="2"/>
    <x v="2"/>
    <n v="1"/>
    <n v="80"/>
    <m/>
    <n v="2"/>
    <x v="4"/>
    <x v="7"/>
    <x v="2"/>
    <n v="18740"/>
    <x v="0"/>
    <s v="Jan"/>
  </r>
  <r>
    <n v="59"/>
    <x v="3"/>
    <x v="1"/>
    <m/>
    <m/>
    <s v="Travel_Rarely"/>
    <n v="1435"/>
    <x v="0"/>
    <n v="25"/>
    <n v="3"/>
    <x v="0"/>
    <n v="1"/>
    <n v="81"/>
    <m/>
    <n v="1"/>
    <x v="2"/>
    <x v="0"/>
    <x v="3"/>
    <n v="7637"/>
    <x v="1"/>
    <s v="Jan"/>
  </r>
  <r>
    <n v="36"/>
    <x v="0"/>
    <x v="1"/>
    <m/>
    <m/>
    <s v="Travel_Rarely"/>
    <n v="1223"/>
    <x v="1"/>
    <n v="8"/>
    <n v="3"/>
    <x v="4"/>
    <n v="1"/>
    <n v="83"/>
    <m/>
    <n v="3"/>
    <x v="2"/>
    <x v="4"/>
    <x v="2"/>
    <n v="10096"/>
    <x v="1"/>
    <s v="Jan"/>
  </r>
  <r>
    <n v="55"/>
    <x v="3"/>
    <x v="1"/>
    <m/>
    <m/>
    <s v="Travel_Rarely"/>
    <n v="836"/>
    <x v="1"/>
    <n v="8"/>
    <n v="3"/>
    <x v="2"/>
    <n v="1"/>
    <n v="84"/>
    <m/>
    <n v="4"/>
    <x v="3"/>
    <x v="5"/>
    <x v="2"/>
    <n v="14756"/>
    <x v="0"/>
    <s v="Jan"/>
  </r>
  <r>
    <n v="36"/>
    <x v="0"/>
    <x v="1"/>
    <m/>
    <m/>
    <s v="Travel_Frequently"/>
    <n v="1195"/>
    <x v="1"/>
    <n v="11"/>
    <n v="3"/>
    <x v="0"/>
    <n v="1"/>
    <n v="85"/>
    <m/>
    <n v="2"/>
    <x v="0"/>
    <x v="3"/>
    <x v="1"/>
    <n v="6499"/>
    <x v="1"/>
    <s v="Jan"/>
  </r>
  <r>
    <n v="45"/>
    <x v="1"/>
    <x v="1"/>
    <m/>
    <m/>
    <s v="Travel_Rarely"/>
    <n v="1339"/>
    <x v="1"/>
    <n v="7"/>
    <n v="3"/>
    <x v="0"/>
    <n v="1"/>
    <n v="86"/>
    <m/>
    <n v="2"/>
    <x v="2"/>
    <x v="1"/>
    <x v="3"/>
    <n v="9724"/>
    <x v="1"/>
    <s v="Jan"/>
  </r>
  <r>
    <n v="35"/>
    <x v="0"/>
    <x v="1"/>
    <m/>
    <m/>
    <s v="Travel_Frequently"/>
    <n v="664"/>
    <x v="1"/>
    <n v="1"/>
    <n v="3"/>
    <x v="2"/>
    <n v="1"/>
    <n v="88"/>
    <m/>
    <n v="2"/>
    <x v="1"/>
    <x v="1"/>
    <x v="3"/>
    <n v="2194"/>
    <x v="1"/>
    <s v="Jan"/>
  </r>
  <r>
    <n v="36"/>
    <x v="0"/>
    <x v="0"/>
    <m/>
    <m/>
    <s v="Travel_Rarely"/>
    <n v="318"/>
    <x v="1"/>
    <n v="9"/>
    <n v="3"/>
    <x v="2"/>
    <n v="1"/>
    <n v="90"/>
    <m/>
    <n v="4"/>
    <x v="1"/>
    <x v="1"/>
    <x v="2"/>
    <n v="3388"/>
    <x v="0"/>
    <s v="Jan"/>
  </r>
  <r>
    <n v="59"/>
    <x v="3"/>
    <x v="1"/>
    <m/>
    <m/>
    <s v="Travel_Frequently"/>
    <n v="1225"/>
    <x v="0"/>
    <n v="1"/>
    <n v="1"/>
    <x v="0"/>
    <n v="1"/>
    <n v="91"/>
    <m/>
    <n v="1"/>
    <x v="0"/>
    <x v="0"/>
    <x v="2"/>
    <n v="5473"/>
    <x v="1"/>
    <s v="Jan"/>
  </r>
  <r>
    <n v="29"/>
    <x v="2"/>
    <x v="1"/>
    <m/>
    <m/>
    <s v="Travel_Rarely"/>
    <n v="1328"/>
    <x v="1"/>
    <n v="2"/>
    <n v="3"/>
    <x v="0"/>
    <n v="1"/>
    <n v="94"/>
    <m/>
    <n v="3"/>
    <x v="1"/>
    <x v="1"/>
    <x v="1"/>
    <n v="2703"/>
    <x v="1"/>
    <s v="Jan"/>
  </r>
  <r>
    <n v="31"/>
    <x v="2"/>
    <x v="1"/>
    <m/>
    <m/>
    <s v="Travel_Rarely"/>
    <n v="1082"/>
    <x v="1"/>
    <n v="1"/>
    <n v="4"/>
    <x v="2"/>
    <n v="1"/>
    <n v="95"/>
    <m/>
    <n v="3"/>
    <x v="1"/>
    <x v="1"/>
    <x v="1"/>
    <n v="2501"/>
    <x v="1"/>
    <s v="Jan"/>
  </r>
  <r>
    <n v="32"/>
    <x v="2"/>
    <x v="1"/>
    <m/>
    <m/>
    <s v="Travel_Rarely"/>
    <n v="548"/>
    <x v="1"/>
    <n v="1"/>
    <n v="3"/>
    <x v="0"/>
    <n v="1"/>
    <n v="96"/>
    <m/>
    <n v="2"/>
    <x v="0"/>
    <x v="1"/>
    <x v="1"/>
    <n v="6220"/>
    <x v="1"/>
    <s v="Jan"/>
  </r>
  <r>
    <n v="36"/>
    <x v="0"/>
    <x v="1"/>
    <m/>
    <m/>
    <s v="Travel_Rarely"/>
    <n v="132"/>
    <x v="1"/>
    <n v="6"/>
    <n v="3"/>
    <x v="0"/>
    <n v="1"/>
    <n v="97"/>
    <m/>
    <n v="2"/>
    <x v="1"/>
    <x v="2"/>
    <x v="0"/>
    <n v="3038"/>
    <x v="1"/>
    <s v="Jan"/>
  </r>
  <r>
    <n v="31"/>
    <x v="2"/>
    <x v="1"/>
    <m/>
    <m/>
    <s v="Travel_Rarely"/>
    <n v="746"/>
    <x v="1"/>
    <n v="8"/>
    <n v="4"/>
    <x v="0"/>
    <n v="1"/>
    <n v="98"/>
    <m/>
    <n v="3"/>
    <x v="0"/>
    <x v="3"/>
    <x v="0"/>
    <n v="4424"/>
    <x v="1"/>
    <s v="Jan"/>
  </r>
  <r>
    <n v="35"/>
    <x v="0"/>
    <x v="1"/>
    <m/>
    <m/>
    <s v="Travel_Rarely"/>
    <n v="776"/>
    <x v="0"/>
    <n v="1"/>
    <n v="4"/>
    <x v="3"/>
    <n v="1"/>
    <n v="100"/>
    <m/>
    <n v="3"/>
    <x v="0"/>
    <x v="0"/>
    <x v="3"/>
    <n v="4312"/>
    <x v="1"/>
    <s v="Jan"/>
  </r>
  <r>
    <n v="45"/>
    <x v="1"/>
    <x v="1"/>
    <m/>
    <m/>
    <s v="Travel_Rarely"/>
    <n v="193"/>
    <x v="1"/>
    <n v="6"/>
    <n v="4"/>
    <x v="1"/>
    <n v="1"/>
    <n v="101"/>
    <m/>
    <n v="4"/>
    <x v="2"/>
    <x v="7"/>
    <x v="3"/>
    <n v="13245"/>
    <x v="0"/>
    <s v="Jan"/>
  </r>
  <r>
    <n v="37"/>
    <x v="0"/>
    <x v="1"/>
    <m/>
    <m/>
    <s v="Travel_Rarely"/>
    <n v="397"/>
    <x v="1"/>
    <n v="7"/>
    <n v="4"/>
    <x v="2"/>
    <n v="1"/>
    <n v="102"/>
    <m/>
    <n v="1"/>
    <x v="2"/>
    <x v="7"/>
    <x v="2"/>
    <n v="13664"/>
    <x v="1"/>
    <s v="Jan"/>
  </r>
  <r>
    <n v="46"/>
    <x v="1"/>
    <x v="1"/>
    <m/>
    <m/>
    <s v="Travel_Rarely"/>
    <n v="945"/>
    <x v="2"/>
    <n v="5"/>
    <n v="2"/>
    <x v="2"/>
    <n v="1"/>
    <n v="103"/>
    <m/>
    <n v="2"/>
    <x v="0"/>
    <x v="8"/>
    <x v="1"/>
    <n v="5021"/>
    <x v="0"/>
    <s v="Jan"/>
  </r>
  <r>
    <n v="30"/>
    <x v="2"/>
    <x v="1"/>
    <m/>
    <m/>
    <s v="Travel_Rarely"/>
    <n v="852"/>
    <x v="1"/>
    <n v="1"/>
    <n v="1"/>
    <x v="0"/>
    <n v="1"/>
    <n v="104"/>
    <m/>
    <n v="4"/>
    <x v="0"/>
    <x v="2"/>
    <x v="0"/>
    <n v="5126"/>
    <x v="0"/>
    <s v="Jan"/>
  </r>
  <r>
    <n v="35"/>
    <x v="0"/>
    <x v="1"/>
    <m/>
    <m/>
    <s v="Travel_Rarely"/>
    <n v="1214"/>
    <x v="1"/>
    <n v="1"/>
    <n v="3"/>
    <x v="2"/>
    <n v="1"/>
    <n v="105"/>
    <m/>
    <n v="2"/>
    <x v="1"/>
    <x v="1"/>
    <x v="2"/>
    <n v="2859"/>
    <x v="1"/>
    <s v="Jan"/>
  </r>
  <r>
    <n v="55"/>
    <x v="3"/>
    <x v="1"/>
    <m/>
    <m/>
    <s v="Travel_Rarely"/>
    <n v="111"/>
    <x v="0"/>
    <n v="1"/>
    <n v="2"/>
    <x v="0"/>
    <n v="1"/>
    <n v="106"/>
    <m/>
    <n v="1"/>
    <x v="2"/>
    <x v="0"/>
    <x v="0"/>
    <n v="10239"/>
    <x v="1"/>
    <s v="Jan"/>
  </r>
  <r>
    <n v="38"/>
    <x v="0"/>
    <x v="1"/>
    <m/>
    <m/>
    <s v="Non-Travel"/>
    <n v="573"/>
    <x v="1"/>
    <n v="6"/>
    <n v="3"/>
    <x v="2"/>
    <n v="1"/>
    <n v="107"/>
    <m/>
    <n v="2"/>
    <x v="0"/>
    <x v="1"/>
    <x v="0"/>
    <n v="5329"/>
    <x v="0"/>
    <s v="Jan"/>
  </r>
  <r>
    <n v="34"/>
    <x v="2"/>
    <x v="1"/>
    <m/>
    <m/>
    <s v="Travel_Rarely"/>
    <n v="1153"/>
    <x v="1"/>
    <n v="1"/>
    <n v="2"/>
    <x v="2"/>
    <n v="1"/>
    <n v="110"/>
    <m/>
    <n v="1"/>
    <x v="0"/>
    <x v="3"/>
    <x v="1"/>
    <n v="4325"/>
    <x v="1"/>
    <s v="Jan"/>
  </r>
  <r>
    <n v="56"/>
    <x v="3"/>
    <x v="1"/>
    <m/>
    <m/>
    <s v="Travel_Rarely"/>
    <n v="1400"/>
    <x v="1"/>
    <n v="7"/>
    <n v="3"/>
    <x v="0"/>
    <n v="1"/>
    <n v="112"/>
    <m/>
    <n v="4"/>
    <x v="2"/>
    <x v="3"/>
    <x v="0"/>
    <n v="7260"/>
    <x v="1"/>
    <s v="Jan"/>
  </r>
  <r>
    <n v="23"/>
    <x v="4"/>
    <x v="1"/>
    <m/>
    <m/>
    <s v="Travel_Rarely"/>
    <n v="541"/>
    <x v="0"/>
    <n v="2"/>
    <n v="1"/>
    <x v="4"/>
    <n v="1"/>
    <n v="113"/>
    <m/>
    <n v="3"/>
    <x v="1"/>
    <x v="6"/>
    <x v="3"/>
    <n v="2322"/>
    <x v="1"/>
    <s v="Jan"/>
  </r>
  <r>
    <n v="51"/>
    <x v="1"/>
    <x v="1"/>
    <m/>
    <m/>
    <s v="Travel_Rarely"/>
    <n v="432"/>
    <x v="1"/>
    <n v="9"/>
    <n v="4"/>
    <x v="0"/>
    <n v="1"/>
    <n v="116"/>
    <m/>
    <n v="4"/>
    <x v="1"/>
    <x v="2"/>
    <x v="0"/>
    <n v="2075"/>
    <x v="1"/>
    <s v="Jan"/>
  </r>
  <r>
    <n v="30"/>
    <x v="2"/>
    <x v="1"/>
    <m/>
    <m/>
    <s v="Travel_Rarely"/>
    <n v="288"/>
    <x v="1"/>
    <n v="2"/>
    <n v="3"/>
    <x v="0"/>
    <n v="1"/>
    <n v="117"/>
    <m/>
    <n v="3"/>
    <x v="0"/>
    <x v="4"/>
    <x v="0"/>
    <n v="4152"/>
    <x v="1"/>
    <s v="Jan"/>
  </r>
  <r>
    <n v="46"/>
    <x v="1"/>
    <x v="0"/>
    <m/>
    <m/>
    <s v="Travel_Rarely"/>
    <n v="669"/>
    <x v="0"/>
    <n v="9"/>
    <n v="2"/>
    <x v="2"/>
    <n v="1"/>
    <n v="118"/>
    <m/>
    <n v="3"/>
    <x v="2"/>
    <x v="0"/>
    <x v="0"/>
    <n v="9619"/>
    <x v="1"/>
    <s v="Jan"/>
  </r>
  <r>
    <n v="40"/>
    <x v="0"/>
    <x v="1"/>
    <m/>
    <m/>
    <s v="Travel_Frequently"/>
    <n v="530"/>
    <x v="1"/>
    <n v="1"/>
    <n v="4"/>
    <x v="0"/>
    <n v="1"/>
    <n v="119"/>
    <m/>
    <n v="3"/>
    <x v="3"/>
    <x v="4"/>
    <x v="1"/>
    <n v="13503"/>
    <x v="1"/>
    <s v="Jan"/>
  </r>
  <r>
    <n v="51"/>
    <x v="1"/>
    <x v="1"/>
    <m/>
    <m/>
    <s v="Travel_Rarely"/>
    <n v="632"/>
    <x v="0"/>
    <n v="21"/>
    <n v="4"/>
    <x v="3"/>
    <n v="1"/>
    <n v="120"/>
    <m/>
    <n v="3"/>
    <x v="0"/>
    <x v="0"/>
    <x v="0"/>
    <n v="5441"/>
    <x v="0"/>
    <s v="Jan"/>
  </r>
  <r>
    <n v="30"/>
    <x v="2"/>
    <x v="1"/>
    <m/>
    <m/>
    <s v="Travel_Rarely"/>
    <n v="1334"/>
    <x v="0"/>
    <n v="4"/>
    <n v="2"/>
    <x v="2"/>
    <n v="1"/>
    <n v="121"/>
    <m/>
    <n v="3"/>
    <x v="0"/>
    <x v="0"/>
    <x v="1"/>
    <n v="5209"/>
    <x v="0"/>
    <s v="Jan"/>
  </r>
  <r>
    <n v="46"/>
    <x v="1"/>
    <x v="1"/>
    <m/>
    <m/>
    <s v="Travel_Frequently"/>
    <n v="638"/>
    <x v="1"/>
    <n v="1"/>
    <n v="3"/>
    <x v="2"/>
    <n v="1"/>
    <n v="124"/>
    <m/>
    <n v="3"/>
    <x v="2"/>
    <x v="4"/>
    <x v="3"/>
    <n v="10673"/>
    <x v="0"/>
    <s v="Jan"/>
  </r>
  <r>
    <n v="32"/>
    <x v="2"/>
    <x v="1"/>
    <m/>
    <m/>
    <s v="Travel_Rarely"/>
    <n v="1093"/>
    <x v="0"/>
    <n v="6"/>
    <n v="4"/>
    <x v="2"/>
    <n v="1"/>
    <n v="125"/>
    <m/>
    <n v="2"/>
    <x v="0"/>
    <x v="0"/>
    <x v="2"/>
    <n v="5010"/>
    <x v="1"/>
    <s v="Jan"/>
  </r>
  <r>
    <n v="54"/>
    <x v="1"/>
    <x v="1"/>
    <m/>
    <m/>
    <s v="Travel_Rarely"/>
    <n v="1217"/>
    <x v="1"/>
    <n v="2"/>
    <n v="4"/>
    <x v="4"/>
    <n v="1"/>
    <n v="126"/>
    <m/>
    <n v="1"/>
    <x v="2"/>
    <x v="7"/>
    <x v="2"/>
    <n v="13549"/>
    <x v="1"/>
    <s v="Jan"/>
  </r>
  <r>
    <n v="24"/>
    <x v="4"/>
    <x v="1"/>
    <m/>
    <m/>
    <s v="Travel_Rarely"/>
    <n v="1353"/>
    <x v="0"/>
    <n v="3"/>
    <n v="2"/>
    <x v="1"/>
    <n v="1"/>
    <n v="128"/>
    <m/>
    <n v="1"/>
    <x v="0"/>
    <x v="0"/>
    <x v="2"/>
    <n v="4999"/>
    <x v="1"/>
    <s v="Jan"/>
  </r>
  <r>
    <n v="28"/>
    <x v="2"/>
    <x v="1"/>
    <m/>
    <m/>
    <s v="Non-Travel"/>
    <n v="120"/>
    <x v="0"/>
    <n v="4"/>
    <n v="3"/>
    <x v="2"/>
    <n v="1"/>
    <n v="129"/>
    <m/>
    <n v="2"/>
    <x v="0"/>
    <x v="0"/>
    <x v="2"/>
    <n v="4221"/>
    <x v="1"/>
    <s v="Jan"/>
  </r>
  <r>
    <n v="58"/>
    <x v="3"/>
    <x v="1"/>
    <m/>
    <m/>
    <s v="Travel_Rarely"/>
    <n v="682"/>
    <x v="0"/>
    <n v="10"/>
    <n v="4"/>
    <x v="2"/>
    <n v="1"/>
    <n v="131"/>
    <m/>
    <n v="4"/>
    <x v="3"/>
    <x v="0"/>
    <x v="2"/>
    <n v="13872"/>
    <x v="1"/>
    <s v="Jan"/>
  </r>
  <r>
    <n v="44"/>
    <x v="0"/>
    <x v="1"/>
    <m/>
    <m/>
    <s v="Non-Travel"/>
    <n v="489"/>
    <x v="1"/>
    <n v="23"/>
    <n v="3"/>
    <x v="2"/>
    <n v="1"/>
    <n v="132"/>
    <m/>
    <n v="2"/>
    <x v="0"/>
    <x v="2"/>
    <x v="1"/>
    <n v="2042"/>
    <x v="1"/>
    <s v="Jan"/>
  </r>
  <r>
    <n v="37"/>
    <x v="0"/>
    <x v="0"/>
    <m/>
    <m/>
    <s v="Travel_Rarely"/>
    <n v="807"/>
    <x v="2"/>
    <n v="6"/>
    <n v="4"/>
    <x v="5"/>
    <n v="1"/>
    <n v="133"/>
    <m/>
    <n v="3"/>
    <x v="1"/>
    <x v="8"/>
    <x v="3"/>
    <n v="2073"/>
    <x v="0"/>
    <s v="Jan"/>
  </r>
  <r>
    <n v="32"/>
    <x v="2"/>
    <x v="1"/>
    <m/>
    <m/>
    <s v="Travel_Rarely"/>
    <n v="827"/>
    <x v="1"/>
    <n v="1"/>
    <n v="1"/>
    <x v="0"/>
    <n v="1"/>
    <n v="134"/>
    <m/>
    <n v="4"/>
    <x v="1"/>
    <x v="1"/>
    <x v="3"/>
    <n v="2956"/>
    <x v="1"/>
    <s v="Jan"/>
  </r>
  <r>
    <n v="20"/>
    <x v="4"/>
    <x v="0"/>
    <m/>
    <m/>
    <s v="Travel_Frequently"/>
    <n v="871"/>
    <x v="1"/>
    <n v="6"/>
    <n v="3"/>
    <x v="0"/>
    <n v="1"/>
    <n v="137"/>
    <m/>
    <n v="4"/>
    <x v="1"/>
    <x v="2"/>
    <x v="0"/>
    <n v="2926"/>
    <x v="0"/>
    <s v="Jan"/>
  </r>
  <r>
    <n v="34"/>
    <x v="2"/>
    <x v="1"/>
    <m/>
    <m/>
    <s v="Travel_Rarely"/>
    <n v="665"/>
    <x v="1"/>
    <n v="6"/>
    <n v="4"/>
    <x v="1"/>
    <n v="1"/>
    <n v="138"/>
    <m/>
    <n v="1"/>
    <x v="0"/>
    <x v="1"/>
    <x v="2"/>
    <n v="4809"/>
    <x v="1"/>
    <s v="Jan"/>
  </r>
  <r>
    <n v="37"/>
    <x v="0"/>
    <x v="1"/>
    <m/>
    <m/>
    <s v="Non-Travel"/>
    <n v="1040"/>
    <x v="1"/>
    <n v="2"/>
    <n v="2"/>
    <x v="0"/>
    <n v="1"/>
    <n v="139"/>
    <m/>
    <n v="3"/>
    <x v="0"/>
    <x v="4"/>
    <x v="0"/>
    <n v="5163"/>
    <x v="1"/>
    <s v="Jan"/>
  </r>
  <r>
    <n v="59"/>
    <x v="3"/>
    <x v="1"/>
    <m/>
    <m/>
    <s v="Non-Travel"/>
    <n v="1420"/>
    <x v="2"/>
    <n v="2"/>
    <n v="4"/>
    <x v="5"/>
    <n v="1"/>
    <n v="140"/>
    <m/>
    <n v="3"/>
    <x v="4"/>
    <x v="5"/>
    <x v="0"/>
    <n v="18844"/>
    <x v="1"/>
    <s v="Jan"/>
  </r>
  <r>
    <n v="50"/>
    <x v="1"/>
    <x v="1"/>
    <m/>
    <m/>
    <s v="Travel_Frequently"/>
    <n v="1115"/>
    <x v="1"/>
    <n v="1"/>
    <n v="3"/>
    <x v="0"/>
    <n v="1"/>
    <n v="141"/>
    <m/>
    <n v="1"/>
    <x v="4"/>
    <x v="7"/>
    <x v="1"/>
    <n v="18172"/>
    <x v="0"/>
    <s v="Jan"/>
  </r>
  <r>
    <n v="25"/>
    <x v="2"/>
    <x v="0"/>
    <m/>
    <m/>
    <s v="Travel_Rarely"/>
    <n v="240"/>
    <x v="0"/>
    <n v="5"/>
    <n v="3"/>
    <x v="3"/>
    <n v="1"/>
    <n v="142"/>
    <m/>
    <n v="3"/>
    <x v="0"/>
    <x v="0"/>
    <x v="2"/>
    <n v="5744"/>
    <x v="0"/>
    <s v="Jan"/>
  </r>
  <r>
    <n v="25"/>
    <x v="2"/>
    <x v="1"/>
    <m/>
    <m/>
    <s v="Travel_Rarely"/>
    <n v="1280"/>
    <x v="1"/>
    <n v="7"/>
    <n v="1"/>
    <x v="2"/>
    <n v="1"/>
    <n v="143"/>
    <m/>
    <n v="4"/>
    <x v="1"/>
    <x v="1"/>
    <x v="0"/>
    <n v="2889"/>
    <x v="1"/>
    <s v="Jan"/>
  </r>
  <r>
    <n v="22"/>
    <x v="4"/>
    <x v="1"/>
    <m/>
    <m/>
    <s v="Travel_Rarely"/>
    <n v="534"/>
    <x v="1"/>
    <n v="15"/>
    <n v="3"/>
    <x v="2"/>
    <n v="1"/>
    <n v="144"/>
    <m/>
    <n v="2"/>
    <x v="1"/>
    <x v="2"/>
    <x v="0"/>
    <n v="2871"/>
    <x v="1"/>
    <s v="Jan"/>
  </r>
  <r>
    <n v="51"/>
    <x v="1"/>
    <x v="1"/>
    <m/>
    <m/>
    <s v="Travel_Frequently"/>
    <n v="1456"/>
    <x v="1"/>
    <n v="1"/>
    <n v="4"/>
    <x v="2"/>
    <n v="1"/>
    <n v="145"/>
    <m/>
    <n v="1"/>
    <x v="2"/>
    <x v="4"/>
    <x v="3"/>
    <n v="7484"/>
    <x v="1"/>
    <s v="Jan"/>
  </r>
  <r>
    <n v="34"/>
    <x v="2"/>
    <x v="0"/>
    <m/>
    <m/>
    <s v="Travel_Frequently"/>
    <n v="658"/>
    <x v="1"/>
    <n v="7"/>
    <n v="3"/>
    <x v="0"/>
    <n v="1"/>
    <n v="147"/>
    <m/>
    <n v="1"/>
    <x v="0"/>
    <x v="2"/>
    <x v="2"/>
    <n v="6074"/>
    <x v="0"/>
    <s v="Jan"/>
  </r>
  <r>
    <n v="54"/>
    <x v="1"/>
    <x v="1"/>
    <m/>
    <m/>
    <s v="Non-Travel"/>
    <n v="142"/>
    <x v="2"/>
    <n v="26"/>
    <n v="3"/>
    <x v="5"/>
    <n v="1"/>
    <n v="148"/>
    <m/>
    <n v="4"/>
    <x v="3"/>
    <x v="5"/>
    <x v="0"/>
    <n v="17328"/>
    <x v="0"/>
    <s v="Jan"/>
  </r>
  <r>
    <n v="24"/>
    <x v="4"/>
    <x v="1"/>
    <m/>
    <m/>
    <s v="Travel_Rarely"/>
    <n v="1127"/>
    <x v="1"/>
    <n v="18"/>
    <n v="1"/>
    <x v="0"/>
    <n v="1"/>
    <n v="150"/>
    <m/>
    <n v="2"/>
    <x v="1"/>
    <x v="2"/>
    <x v="2"/>
    <n v="2774"/>
    <x v="1"/>
    <s v="Jan"/>
  </r>
  <r>
    <n v="34"/>
    <x v="2"/>
    <x v="1"/>
    <m/>
    <m/>
    <s v="Travel_Rarely"/>
    <n v="1031"/>
    <x v="1"/>
    <n v="6"/>
    <n v="4"/>
    <x v="0"/>
    <n v="1"/>
    <n v="151"/>
    <m/>
    <n v="3"/>
    <x v="0"/>
    <x v="1"/>
    <x v="1"/>
    <n v="4505"/>
    <x v="1"/>
    <s v="Jan"/>
  </r>
  <r>
    <n v="37"/>
    <x v="0"/>
    <x v="1"/>
    <m/>
    <m/>
    <s v="Travel_Rarely"/>
    <n v="1189"/>
    <x v="0"/>
    <n v="3"/>
    <n v="3"/>
    <x v="0"/>
    <n v="1"/>
    <n v="152"/>
    <m/>
    <n v="3"/>
    <x v="2"/>
    <x v="0"/>
    <x v="0"/>
    <n v="7428"/>
    <x v="1"/>
    <s v="Jan"/>
  </r>
  <r>
    <n v="34"/>
    <x v="2"/>
    <x v="1"/>
    <m/>
    <m/>
    <s v="Travel_Rarely"/>
    <n v="1354"/>
    <x v="1"/>
    <n v="5"/>
    <n v="3"/>
    <x v="2"/>
    <n v="1"/>
    <n v="153"/>
    <m/>
    <n v="3"/>
    <x v="2"/>
    <x v="5"/>
    <x v="3"/>
    <n v="11631"/>
    <x v="1"/>
    <s v="Jan"/>
  </r>
  <r>
    <n v="36"/>
    <x v="0"/>
    <x v="1"/>
    <m/>
    <m/>
    <s v="Travel_Frequently"/>
    <n v="1467"/>
    <x v="0"/>
    <n v="11"/>
    <n v="2"/>
    <x v="4"/>
    <n v="1"/>
    <n v="154"/>
    <m/>
    <n v="2"/>
    <x v="2"/>
    <x v="0"/>
    <x v="0"/>
    <n v="9738"/>
    <x v="1"/>
    <s v="Jan"/>
  </r>
  <r>
    <n v="36"/>
    <x v="0"/>
    <x v="1"/>
    <m/>
    <m/>
    <s v="Travel_Rarely"/>
    <n v="922"/>
    <x v="1"/>
    <n v="3"/>
    <n v="2"/>
    <x v="0"/>
    <n v="1"/>
    <n v="155"/>
    <m/>
    <n v="1"/>
    <x v="1"/>
    <x v="2"/>
    <x v="0"/>
    <n v="2835"/>
    <x v="1"/>
    <s v="Jan"/>
  </r>
  <r>
    <n v="43"/>
    <x v="0"/>
    <x v="1"/>
    <m/>
    <m/>
    <s v="Travel_Frequently"/>
    <n v="394"/>
    <x v="0"/>
    <n v="26"/>
    <n v="2"/>
    <x v="0"/>
    <n v="1"/>
    <n v="158"/>
    <m/>
    <n v="3"/>
    <x v="3"/>
    <x v="5"/>
    <x v="0"/>
    <n v="16959"/>
    <x v="0"/>
    <s v="Jan"/>
  </r>
  <r>
    <n v="30"/>
    <x v="2"/>
    <x v="1"/>
    <m/>
    <m/>
    <s v="Travel_Frequently"/>
    <n v="1312"/>
    <x v="1"/>
    <n v="23"/>
    <n v="3"/>
    <x v="0"/>
    <n v="1"/>
    <n v="159"/>
    <m/>
    <n v="1"/>
    <x v="1"/>
    <x v="1"/>
    <x v="2"/>
    <n v="2613"/>
    <x v="1"/>
    <s v="Jan"/>
  </r>
  <r>
    <n v="33"/>
    <x v="2"/>
    <x v="1"/>
    <m/>
    <m/>
    <s v="Non-Travel"/>
    <n v="750"/>
    <x v="0"/>
    <n v="22"/>
    <n v="2"/>
    <x v="3"/>
    <n v="1"/>
    <n v="160"/>
    <m/>
    <n v="3"/>
    <x v="0"/>
    <x v="0"/>
    <x v="1"/>
    <n v="6146"/>
    <x v="1"/>
    <s v="Jan"/>
  </r>
  <r>
    <n v="56"/>
    <x v="3"/>
    <x v="0"/>
    <m/>
    <m/>
    <s v="Travel_Rarely"/>
    <n v="441"/>
    <x v="1"/>
    <n v="14"/>
    <n v="4"/>
    <x v="0"/>
    <n v="1"/>
    <n v="161"/>
    <m/>
    <n v="2"/>
    <x v="1"/>
    <x v="1"/>
    <x v="1"/>
    <n v="4963"/>
    <x v="0"/>
    <s v="Jan"/>
  </r>
  <r>
    <n v="51"/>
    <x v="1"/>
    <x v="1"/>
    <m/>
    <m/>
    <s v="Travel_Rarely"/>
    <n v="684"/>
    <x v="1"/>
    <n v="6"/>
    <n v="3"/>
    <x v="0"/>
    <n v="1"/>
    <n v="162"/>
    <m/>
    <n v="1"/>
    <x v="4"/>
    <x v="7"/>
    <x v="2"/>
    <n v="19537"/>
    <x v="1"/>
    <s v="Jan"/>
  </r>
  <r>
    <n v="31"/>
    <x v="2"/>
    <x v="0"/>
    <m/>
    <m/>
    <s v="Travel_Rarely"/>
    <n v="249"/>
    <x v="0"/>
    <n v="6"/>
    <n v="4"/>
    <x v="0"/>
    <n v="1"/>
    <n v="163"/>
    <m/>
    <n v="2"/>
    <x v="0"/>
    <x v="0"/>
    <x v="2"/>
    <n v="6172"/>
    <x v="0"/>
    <s v="Jan"/>
  </r>
  <r>
    <n v="26"/>
    <x v="2"/>
    <x v="1"/>
    <m/>
    <m/>
    <s v="Travel_Rarely"/>
    <n v="841"/>
    <x v="1"/>
    <n v="6"/>
    <n v="3"/>
    <x v="1"/>
    <n v="1"/>
    <n v="164"/>
    <m/>
    <n v="3"/>
    <x v="1"/>
    <x v="1"/>
    <x v="1"/>
    <n v="2368"/>
    <x v="1"/>
    <s v="Jan"/>
  </r>
  <r>
    <n v="58"/>
    <x v="3"/>
    <x v="0"/>
    <m/>
    <m/>
    <s v="Travel_Rarely"/>
    <n v="147"/>
    <x v="1"/>
    <n v="23"/>
    <n v="4"/>
    <x v="2"/>
    <n v="1"/>
    <n v="165"/>
    <m/>
    <n v="4"/>
    <x v="2"/>
    <x v="4"/>
    <x v="0"/>
    <n v="10312"/>
    <x v="1"/>
    <s v="Jan"/>
  </r>
  <r>
    <n v="19"/>
    <x v="4"/>
    <x v="0"/>
    <m/>
    <m/>
    <s v="Travel_Rarely"/>
    <n v="528"/>
    <x v="0"/>
    <n v="22"/>
    <n v="1"/>
    <x v="3"/>
    <n v="1"/>
    <n v="167"/>
    <m/>
    <n v="4"/>
    <x v="1"/>
    <x v="6"/>
    <x v="2"/>
    <n v="1675"/>
    <x v="0"/>
    <s v="Jan"/>
  </r>
  <r>
    <n v="22"/>
    <x v="4"/>
    <x v="1"/>
    <m/>
    <m/>
    <s v="Travel_Rarely"/>
    <n v="594"/>
    <x v="1"/>
    <n v="2"/>
    <n v="1"/>
    <x v="4"/>
    <n v="1"/>
    <n v="169"/>
    <m/>
    <n v="3"/>
    <x v="1"/>
    <x v="2"/>
    <x v="0"/>
    <n v="2523"/>
    <x v="1"/>
    <s v="Jan"/>
  </r>
  <r>
    <n v="49"/>
    <x v="1"/>
    <x v="1"/>
    <m/>
    <m/>
    <s v="Travel_Rarely"/>
    <n v="470"/>
    <x v="1"/>
    <n v="20"/>
    <n v="4"/>
    <x v="2"/>
    <n v="1"/>
    <n v="170"/>
    <m/>
    <n v="3"/>
    <x v="0"/>
    <x v="3"/>
    <x v="3"/>
    <n v="6567"/>
    <x v="1"/>
    <s v="Jan"/>
  </r>
  <r>
    <n v="43"/>
    <x v="0"/>
    <x v="1"/>
    <m/>
    <m/>
    <s v="Travel_Frequently"/>
    <n v="957"/>
    <x v="1"/>
    <n v="28"/>
    <n v="3"/>
    <x v="2"/>
    <n v="1"/>
    <n v="171"/>
    <m/>
    <n v="2"/>
    <x v="1"/>
    <x v="1"/>
    <x v="2"/>
    <n v="4739"/>
    <x v="1"/>
    <s v="Jan"/>
  </r>
  <r>
    <n v="50"/>
    <x v="1"/>
    <x v="1"/>
    <m/>
    <m/>
    <s v="Travel_Frequently"/>
    <n v="809"/>
    <x v="0"/>
    <n v="12"/>
    <n v="3"/>
    <x v="3"/>
    <n v="1"/>
    <n v="174"/>
    <m/>
    <n v="3"/>
    <x v="2"/>
    <x v="0"/>
    <x v="0"/>
    <n v="9208"/>
    <x v="1"/>
    <s v="Jan"/>
  </r>
  <r>
    <n v="31"/>
    <x v="2"/>
    <x v="0"/>
    <m/>
    <m/>
    <s v="Travel_Rarely"/>
    <n v="542"/>
    <x v="0"/>
    <n v="20"/>
    <n v="3"/>
    <x v="0"/>
    <n v="1"/>
    <n v="175"/>
    <m/>
    <n v="2"/>
    <x v="0"/>
    <x v="0"/>
    <x v="2"/>
    <n v="4559"/>
    <x v="0"/>
    <s v="Jan"/>
  </r>
  <r>
    <n v="41"/>
    <x v="0"/>
    <x v="1"/>
    <m/>
    <m/>
    <s v="Travel_Rarely"/>
    <n v="802"/>
    <x v="0"/>
    <n v="9"/>
    <n v="1"/>
    <x v="0"/>
    <n v="1"/>
    <n v="176"/>
    <m/>
    <n v="3"/>
    <x v="2"/>
    <x v="0"/>
    <x v="2"/>
    <n v="8189"/>
    <x v="0"/>
    <s v="Jan"/>
  </r>
  <r>
    <n v="26"/>
    <x v="2"/>
    <x v="1"/>
    <m/>
    <m/>
    <s v="Travel_Rarely"/>
    <n v="1355"/>
    <x v="2"/>
    <n v="25"/>
    <n v="1"/>
    <x v="0"/>
    <n v="1"/>
    <n v="177"/>
    <m/>
    <n v="3"/>
    <x v="1"/>
    <x v="8"/>
    <x v="2"/>
    <n v="2942"/>
    <x v="1"/>
    <s v="Jan"/>
  </r>
  <r>
    <n v="36"/>
    <x v="0"/>
    <x v="1"/>
    <m/>
    <m/>
    <s v="Travel_Rarely"/>
    <n v="216"/>
    <x v="1"/>
    <n v="6"/>
    <n v="2"/>
    <x v="2"/>
    <n v="1"/>
    <n v="178"/>
    <m/>
    <n v="2"/>
    <x v="0"/>
    <x v="3"/>
    <x v="1"/>
    <n v="4941"/>
    <x v="1"/>
    <s v="Jan"/>
  </r>
  <r>
    <n v="51"/>
    <x v="1"/>
    <x v="0"/>
    <m/>
    <m/>
    <s v="Travel_Frequently"/>
    <n v="1150"/>
    <x v="1"/>
    <n v="8"/>
    <n v="4"/>
    <x v="0"/>
    <n v="1"/>
    <n v="179"/>
    <m/>
    <n v="1"/>
    <x v="2"/>
    <x v="3"/>
    <x v="0"/>
    <n v="10650"/>
    <x v="1"/>
    <s v="Jan"/>
  </r>
  <r>
    <n v="39"/>
    <x v="0"/>
    <x v="1"/>
    <m/>
    <m/>
    <s v="Travel_Rarely"/>
    <n v="1329"/>
    <x v="0"/>
    <n v="4"/>
    <n v="4"/>
    <x v="0"/>
    <n v="1"/>
    <n v="182"/>
    <m/>
    <n v="4"/>
    <x v="0"/>
    <x v="0"/>
    <x v="2"/>
    <n v="5902"/>
    <x v="1"/>
    <s v="Jan"/>
  </r>
  <r>
    <n v="25"/>
    <x v="2"/>
    <x v="1"/>
    <m/>
    <m/>
    <s v="Travel_Rarely"/>
    <n v="959"/>
    <x v="0"/>
    <n v="28"/>
    <n v="3"/>
    <x v="0"/>
    <n v="1"/>
    <n v="183"/>
    <m/>
    <n v="1"/>
    <x v="0"/>
    <x v="0"/>
    <x v="2"/>
    <n v="8639"/>
    <x v="1"/>
    <s v="Jan"/>
  </r>
  <r>
    <n v="30"/>
    <x v="2"/>
    <x v="1"/>
    <m/>
    <m/>
    <s v="Travel_Rarely"/>
    <n v="1240"/>
    <x v="2"/>
    <n v="9"/>
    <n v="3"/>
    <x v="5"/>
    <n v="1"/>
    <n v="184"/>
    <m/>
    <n v="3"/>
    <x v="0"/>
    <x v="8"/>
    <x v="0"/>
    <n v="6347"/>
    <x v="0"/>
    <s v="Jan"/>
  </r>
  <r>
    <n v="32"/>
    <x v="2"/>
    <x v="0"/>
    <m/>
    <m/>
    <s v="Travel_Rarely"/>
    <n v="1033"/>
    <x v="1"/>
    <n v="9"/>
    <n v="3"/>
    <x v="2"/>
    <n v="1"/>
    <n v="190"/>
    <m/>
    <n v="1"/>
    <x v="1"/>
    <x v="2"/>
    <x v="3"/>
    <n v="4200"/>
    <x v="1"/>
    <s v="Jan"/>
  </r>
  <r>
    <n v="45"/>
    <x v="1"/>
    <x v="1"/>
    <m/>
    <m/>
    <s v="Travel_Rarely"/>
    <n v="1316"/>
    <x v="1"/>
    <n v="29"/>
    <n v="3"/>
    <x v="2"/>
    <n v="1"/>
    <n v="192"/>
    <m/>
    <n v="3"/>
    <x v="1"/>
    <x v="1"/>
    <x v="0"/>
    <n v="3452"/>
    <x v="1"/>
    <s v="Jan"/>
  </r>
  <r>
    <n v="38"/>
    <x v="0"/>
    <x v="1"/>
    <m/>
    <m/>
    <s v="Travel_Rarely"/>
    <n v="364"/>
    <x v="1"/>
    <n v="3"/>
    <n v="5"/>
    <x v="4"/>
    <n v="1"/>
    <n v="193"/>
    <m/>
    <n v="4"/>
    <x v="0"/>
    <x v="1"/>
    <x v="2"/>
    <n v="4317"/>
    <x v="0"/>
    <s v="Jan"/>
  </r>
  <r>
    <n v="30"/>
    <x v="2"/>
    <x v="1"/>
    <m/>
    <m/>
    <s v="Travel_Rarely"/>
    <n v="438"/>
    <x v="1"/>
    <n v="18"/>
    <n v="3"/>
    <x v="0"/>
    <n v="1"/>
    <n v="194"/>
    <m/>
    <n v="1"/>
    <x v="1"/>
    <x v="1"/>
    <x v="2"/>
    <n v="2632"/>
    <x v="1"/>
    <s v="Jan"/>
  </r>
  <r>
    <n v="32"/>
    <x v="2"/>
    <x v="1"/>
    <m/>
    <m/>
    <s v="Travel_Frequently"/>
    <n v="689"/>
    <x v="0"/>
    <n v="9"/>
    <n v="2"/>
    <x v="2"/>
    <n v="1"/>
    <n v="195"/>
    <m/>
    <n v="4"/>
    <x v="0"/>
    <x v="0"/>
    <x v="0"/>
    <n v="4668"/>
    <x v="1"/>
    <s v="Jan"/>
  </r>
  <r>
    <n v="30"/>
    <x v="2"/>
    <x v="1"/>
    <m/>
    <m/>
    <s v="Travel_Rarely"/>
    <n v="201"/>
    <x v="1"/>
    <n v="5"/>
    <n v="3"/>
    <x v="4"/>
    <n v="1"/>
    <n v="197"/>
    <m/>
    <n v="4"/>
    <x v="1"/>
    <x v="1"/>
    <x v="3"/>
    <n v="3204"/>
    <x v="1"/>
    <s v="Jan"/>
  </r>
  <r>
    <n v="30"/>
    <x v="2"/>
    <x v="1"/>
    <m/>
    <m/>
    <s v="Travel_Rarely"/>
    <n v="1427"/>
    <x v="1"/>
    <n v="2"/>
    <n v="1"/>
    <x v="2"/>
    <n v="1"/>
    <n v="198"/>
    <m/>
    <n v="2"/>
    <x v="1"/>
    <x v="2"/>
    <x v="0"/>
    <n v="2720"/>
    <x v="1"/>
    <s v="Jan"/>
  </r>
  <r>
    <n v="41"/>
    <x v="0"/>
    <x v="1"/>
    <m/>
    <m/>
    <s v="Travel_Frequently"/>
    <n v="857"/>
    <x v="1"/>
    <n v="10"/>
    <n v="3"/>
    <x v="0"/>
    <n v="1"/>
    <n v="199"/>
    <m/>
    <n v="4"/>
    <x v="3"/>
    <x v="5"/>
    <x v="3"/>
    <n v="17181"/>
    <x v="1"/>
    <s v="Jan"/>
  </r>
  <r>
    <n v="41"/>
    <x v="0"/>
    <x v="1"/>
    <m/>
    <m/>
    <s v="Travel_Rarely"/>
    <n v="933"/>
    <x v="1"/>
    <n v="9"/>
    <n v="4"/>
    <x v="0"/>
    <n v="1"/>
    <n v="200"/>
    <m/>
    <n v="3"/>
    <x v="1"/>
    <x v="2"/>
    <x v="3"/>
    <n v="2238"/>
    <x v="1"/>
    <s v="Jan"/>
  </r>
  <r>
    <n v="19"/>
    <x v="4"/>
    <x v="1"/>
    <m/>
    <m/>
    <s v="Travel_Rarely"/>
    <n v="1181"/>
    <x v="1"/>
    <n v="3"/>
    <n v="1"/>
    <x v="2"/>
    <n v="1"/>
    <n v="201"/>
    <m/>
    <n v="2"/>
    <x v="1"/>
    <x v="2"/>
    <x v="1"/>
    <n v="1483"/>
    <x v="1"/>
    <s v="Jan"/>
  </r>
  <r>
    <n v="40"/>
    <x v="0"/>
    <x v="1"/>
    <m/>
    <m/>
    <s v="Travel_Frequently"/>
    <n v="1395"/>
    <x v="1"/>
    <n v="26"/>
    <n v="3"/>
    <x v="2"/>
    <n v="1"/>
    <n v="202"/>
    <m/>
    <n v="2"/>
    <x v="0"/>
    <x v="1"/>
    <x v="1"/>
    <n v="5605"/>
    <x v="1"/>
    <s v="Jan"/>
  </r>
  <r>
    <n v="35"/>
    <x v="0"/>
    <x v="1"/>
    <m/>
    <m/>
    <s v="Travel_Rarely"/>
    <n v="662"/>
    <x v="0"/>
    <n v="1"/>
    <n v="5"/>
    <x v="3"/>
    <n v="1"/>
    <n v="204"/>
    <m/>
    <n v="3"/>
    <x v="2"/>
    <x v="0"/>
    <x v="1"/>
    <n v="7295"/>
    <x v="1"/>
    <s v="Jan"/>
  </r>
  <r>
    <n v="53"/>
    <x v="1"/>
    <x v="1"/>
    <m/>
    <m/>
    <s v="Travel_Rarely"/>
    <n v="1436"/>
    <x v="0"/>
    <n v="6"/>
    <n v="2"/>
    <x v="3"/>
    <n v="1"/>
    <n v="205"/>
    <m/>
    <n v="2"/>
    <x v="0"/>
    <x v="6"/>
    <x v="2"/>
    <n v="2306"/>
    <x v="0"/>
    <s v="Jan"/>
  </r>
  <r>
    <n v="45"/>
    <x v="1"/>
    <x v="1"/>
    <m/>
    <m/>
    <s v="Travel_Rarely"/>
    <n v="194"/>
    <x v="1"/>
    <n v="9"/>
    <n v="3"/>
    <x v="0"/>
    <n v="1"/>
    <n v="206"/>
    <m/>
    <n v="2"/>
    <x v="0"/>
    <x v="2"/>
    <x v="1"/>
    <n v="2348"/>
    <x v="1"/>
    <s v="Jan"/>
  </r>
  <r>
    <n v="32"/>
    <x v="2"/>
    <x v="1"/>
    <m/>
    <m/>
    <s v="Travel_Frequently"/>
    <n v="967"/>
    <x v="0"/>
    <n v="8"/>
    <n v="3"/>
    <x v="3"/>
    <n v="1"/>
    <n v="207"/>
    <m/>
    <n v="2"/>
    <x v="2"/>
    <x v="0"/>
    <x v="0"/>
    <n v="8998"/>
    <x v="1"/>
    <s v="Jan"/>
  </r>
  <r>
    <n v="29"/>
    <x v="2"/>
    <x v="1"/>
    <m/>
    <m/>
    <s v="Non-Travel"/>
    <n v="1496"/>
    <x v="1"/>
    <n v="1"/>
    <n v="1"/>
    <x v="4"/>
    <n v="1"/>
    <n v="208"/>
    <m/>
    <n v="4"/>
    <x v="0"/>
    <x v="3"/>
    <x v="2"/>
    <n v="4319"/>
    <x v="1"/>
    <s v="Jan"/>
  </r>
  <r>
    <n v="51"/>
    <x v="1"/>
    <x v="1"/>
    <m/>
    <m/>
    <s v="Travel_Rarely"/>
    <n v="1169"/>
    <x v="1"/>
    <n v="7"/>
    <n v="4"/>
    <x v="2"/>
    <n v="1"/>
    <n v="211"/>
    <m/>
    <n v="2"/>
    <x v="0"/>
    <x v="3"/>
    <x v="2"/>
    <n v="6132"/>
    <x v="1"/>
    <s v="Jan"/>
  </r>
  <r>
    <n v="58"/>
    <x v="3"/>
    <x v="1"/>
    <m/>
    <m/>
    <s v="Travel_Rarely"/>
    <n v="1145"/>
    <x v="1"/>
    <n v="9"/>
    <n v="3"/>
    <x v="2"/>
    <n v="1"/>
    <n v="214"/>
    <m/>
    <n v="2"/>
    <x v="1"/>
    <x v="1"/>
    <x v="1"/>
    <n v="3346"/>
    <x v="0"/>
    <s v="Jan"/>
  </r>
  <r>
    <n v="40"/>
    <x v="0"/>
    <x v="1"/>
    <m/>
    <m/>
    <s v="Travel_Rarely"/>
    <n v="630"/>
    <x v="0"/>
    <n v="4"/>
    <n v="4"/>
    <x v="3"/>
    <n v="1"/>
    <n v="215"/>
    <m/>
    <n v="3"/>
    <x v="2"/>
    <x v="0"/>
    <x v="0"/>
    <n v="10855"/>
    <x v="1"/>
    <s v="Jan"/>
  </r>
  <r>
    <n v="34"/>
    <x v="2"/>
    <x v="1"/>
    <m/>
    <m/>
    <s v="Travel_Frequently"/>
    <n v="303"/>
    <x v="0"/>
    <n v="2"/>
    <n v="4"/>
    <x v="3"/>
    <n v="1"/>
    <n v="216"/>
    <m/>
    <n v="3"/>
    <x v="1"/>
    <x v="6"/>
    <x v="2"/>
    <n v="2231"/>
    <x v="1"/>
    <s v="Jan"/>
  </r>
  <r>
    <n v="22"/>
    <x v="4"/>
    <x v="1"/>
    <m/>
    <m/>
    <s v="Travel_Rarely"/>
    <n v="1256"/>
    <x v="1"/>
    <n v="19"/>
    <n v="1"/>
    <x v="2"/>
    <n v="1"/>
    <n v="217"/>
    <m/>
    <n v="3"/>
    <x v="1"/>
    <x v="1"/>
    <x v="0"/>
    <n v="2323"/>
    <x v="1"/>
    <s v="Jan"/>
  </r>
  <r>
    <n v="27"/>
    <x v="2"/>
    <x v="1"/>
    <m/>
    <m/>
    <s v="Non-Travel"/>
    <n v="691"/>
    <x v="1"/>
    <n v="9"/>
    <n v="3"/>
    <x v="2"/>
    <n v="1"/>
    <n v="218"/>
    <m/>
    <n v="4"/>
    <x v="1"/>
    <x v="1"/>
    <x v="1"/>
    <n v="2024"/>
    <x v="1"/>
    <s v="Jan"/>
  </r>
  <r>
    <n v="28"/>
    <x v="2"/>
    <x v="1"/>
    <m/>
    <m/>
    <s v="Travel_Rarely"/>
    <n v="440"/>
    <x v="1"/>
    <n v="21"/>
    <n v="3"/>
    <x v="2"/>
    <n v="1"/>
    <n v="221"/>
    <m/>
    <n v="3"/>
    <x v="1"/>
    <x v="1"/>
    <x v="0"/>
    <n v="2713"/>
    <x v="1"/>
    <s v="Jan"/>
  </r>
  <r>
    <n v="57"/>
    <x v="3"/>
    <x v="1"/>
    <m/>
    <m/>
    <s v="Travel_Rarely"/>
    <n v="334"/>
    <x v="1"/>
    <n v="24"/>
    <n v="2"/>
    <x v="0"/>
    <n v="1"/>
    <n v="223"/>
    <m/>
    <n v="3"/>
    <x v="2"/>
    <x v="4"/>
    <x v="0"/>
    <n v="9439"/>
    <x v="0"/>
    <s v="Jan"/>
  </r>
  <r>
    <n v="27"/>
    <x v="2"/>
    <x v="1"/>
    <m/>
    <m/>
    <s v="Non-Travel"/>
    <n v="1450"/>
    <x v="1"/>
    <n v="3"/>
    <n v="3"/>
    <x v="2"/>
    <n v="1"/>
    <n v="224"/>
    <m/>
    <n v="3"/>
    <x v="1"/>
    <x v="1"/>
    <x v="2"/>
    <n v="2566"/>
    <x v="0"/>
    <s v="Jan"/>
  </r>
  <r>
    <n v="50"/>
    <x v="1"/>
    <x v="1"/>
    <m/>
    <m/>
    <s v="Travel_Rarely"/>
    <n v="1452"/>
    <x v="1"/>
    <n v="11"/>
    <n v="3"/>
    <x v="0"/>
    <n v="1"/>
    <n v="226"/>
    <m/>
    <n v="3"/>
    <x v="4"/>
    <x v="5"/>
    <x v="1"/>
    <n v="19926"/>
    <x v="1"/>
    <s v="Jan"/>
  </r>
  <r>
    <n v="41"/>
    <x v="0"/>
    <x v="1"/>
    <m/>
    <m/>
    <s v="Travel_Rarely"/>
    <n v="465"/>
    <x v="1"/>
    <n v="14"/>
    <n v="3"/>
    <x v="0"/>
    <n v="1"/>
    <n v="227"/>
    <m/>
    <n v="1"/>
    <x v="1"/>
    <x v="1"/>
    <x v="2"/>
    <n v="2451"/>
    <x v="1"/>
    <s v="Jan"/>
  </r>
  <r>
    <n v="30"/>
    <x v="2"/>
    <x v="1"/>
    <m/>
    <m/>
    <s v="Travel_Rarely"/>
    <n v="1339"/>
    <x v="0"/>
    <n v="5"/>
    <n v="3"/>
    <x v="0"/>
    <n v="1"/>
    <n v="228"/>
    <m/>
    <n v="2"/>
    <x v="2"/>
    <x v="0"/>
    <x v="0"/>
    <n v="9419"/>
    <x v="1"/>
    <s v="Jan"/>
  </r>
  <r>
    <n v="38"/>
    <x v="0"/>
    <x v="1"/>
    <m/>
    <m/>
    <s v="Travel_Rarely"/>
    <n v="702"/>
    <x v="0"/>
    <n v="1"/>
    <n v="4"/>
    <x v="0"/>
    <n v="1"/>
    <n v="230"/>
    <m/>
    <n v="1"/>
    <x v="0"/>
    <x v="0"/>
    <x v="0"/>
    <n v="8686"/>
    <x v="1"/>
    <s v="Jan"/>
  </r>
  <r>
    <n v="32"/>
    <x v="2"/>
    <x v="1"/>
    <m/>
    <m/>
    <s v="Travel_Rarely"/>
    <n v="120"/>
    <x v="1"/>
    <n v="6"/>
    <n v="5"/>
    <x v="0"/>
    <n v="1"/>
    <n v="231"/>
    <m/>
    <n v="3"/>
    <x v="1"/>
    <x v="1"/>
    <x v="2"/>
    <n v="3038"/>
    <x v="1"/>
    <s v="Jan"/>
  </r>
  <r>
    <n v="27"/>
    <x v="2"/>
    <x v="1"/>
    <m/>
    <m/>
    <s v="Travel_Rarely"/>
    <n v="1157"/>
    <x v="1"/>
    <n v="17"/>
    <n v="3"/>
    <x v="4"/>
    <n v="1"/>
    <n v="233"/>
    <m/>
    <n v="3"/>
    <x v="1"/>
    <x v="1"/>
    <x v="1"/>
    <n v="3058"/>
    <x v="0"/>
    <s v="Jan"/>
  </r>
  <r>
    <n v="19"/>
    <x v="4"/>
    <x v="0"/>
    <m/>
    <m/>
    <s v="Travel_Frequently"/>
    <n v="602"/>
    <x v="0"/>
    <n v="1"/>
    <n v="1"/>
    <x v="4"/>
    <n v="1"/>
    <n v="235"/>
    <m/>
    <n v="3"/>
    <x v="1"/>
    <x v="6"/>
    <x v="3"/>
    <n v="2325"/>
    <x v="1"/>
    <s v="Jan"/>
  </r>
  <r>
    <n v="36"/>
    <x v="0"/>
    <x v="1"/>
    <m/>
    <m/>
    <s v="Travel_Frequently"/>
    <n v="1480"/>
    <x v="1"/>
    <n v="3"/>
    <n v="2"/>
    <x v="2"/>
    <n v="1"/>
    <n v="238"/>
    <m/>
    <n v="4"/>
    <x v="1"/>
    <x v="2"/>
    <x v="1"/>
    <n v="2088"/>
    <x v="1"/>
    <s v="Jan"/>
  </r>
  <r>
    <n v="30"/>
    <x v="2"/>
    <x v="1"/>
    <m/>
    <m/>
    <s v="Non-Travel"/>
    <n v="111"/>
    <x v="1"/>
    <n v="9"/>
    <n v="3"/>
    <x v="2"/>
    <n v="1"/>
    <n v="239"/>
    <m/>
    <n v="3"/>
    <x v="0"/>
    <x v="2"/>
    <x v="3"/>
    <n v="3072"/>
    <x v="1"/>
    <s v="Jan"/>
  </r>
  <r>
    <n v="45"/>
    <x v="1"/>
    <x v="1"/>
    <m/>
    <m/>
    <s v="Travel_Rarely"/>
    <n v="1268"/>
    <x v="0"/>
    <n v="4"/>
    <n v="2"/>
    <x v="0"/>
    <n v="1"/>
    <n v="240"/>
    <m/>
    <n v="3"/>
    <x v="0"/>
    <x v="0"/>
    <x v="3"/>
    <n v="5006"/>
    <x v="0"/>
    <s v="Jan"/>
  </r>
  <r>
    <n v="56"/>
    <x v="3"/>
    <x v="1"/>
    <m/>
    <m/>
    <s v="Travel_Rarely"/>
    <n v="713"/>
    <x v="1"/>
    <n v="8"/>
    <n v="3"/>
    <x v="0"/>
    <n v="1"/>
    <n v="241"/>
    <m/>
    <n v="3"/>
    <x v="1"/>
    <x v="1"/>
    <x v="3"/>
    <n v="4257"/>
    <x v="0"/>
    <s v="Jan"/>
  </r>
  <r>
    <n v="33"/>
    <x v="2"/>
    <x v="1"/>
    <m/>
    <m/>
    <s v="Travel_Rarely"/>
    <n v="134"/>
    <x v="1"/>
    <n v="2"/>
    <n v="3"/>
    <x v="0"/>
    <n v="1"/>
    <n v="242"/>
    <m/>
    <n v="3"/>
    <x v="1"/>
    <x v="1"/>
    <x v="0"/>
    <n v="2500"/>
    <x v="1"/>
    <s v="Jan"/>
  </r>
  <r>
    <n v="19"/>
    <x v="4"/>
    <x v="0"/>
    <m/>
    <m/>
    <s v="Travel_Rarely"/>
    <n v="303"/>
    <x v="1"/>
    <n v="2"/>
    <n v="3"/>
    <x v="0"/>
    <n v="1"/>
    <n v="243"/>
    <m/>
    <n v="2"/>
    <x v="1"/>
    <x v="2"/>
    <x v="0"/>
    <n v="1102"/>
    <x v="1"/>
    <s v="Jan"/>
  </r>
  <r>
    <n v="46"/>
    <x v="1"/>
    <x v="1"/>
    <m/>
    <m/>
    <s v="Travel_Rarely"/>
    <n v="526"/>
    <x v="0"/>
    <n v="1"/>
    <n v="2"/>
    <x v="3"/>
    <n v="1"/>
    <n v="244"/>
    <m/>
    <n v="2"/>
    <x v="2"/>
    <x v="0"/>
    <x v="3"/>
    <n v="10453"/>
    <x v="1"/>
    <s v="Jan"/>
  </r>
  <r>
    <n v="38"/>
    <x v="0"/>
    <x v="1"/>
    <m/>
    <m/>
    <s v="Travel_Rarely"/>
    <n v="1380"/>
    <x v="1"/>
    <n v="9"/>
    <n v="2"/>
    <x v="0"/>
    <n v="1"/>
    <n v="245"/>
    <m/>
    <n v="3"/>
    <x v="1"/>
    <x v="2"/>
    <x v="0"/>
    <n v="2288"/>
    <x v="1"/>
    <s v="Jan"/>
  </r>
  <r>
    <n v="31"/>
    <x v="2"/>
    <x v="1"/>
    <m/>
    <m/>
    <s v="Travel_Rarely"/>
    <n v="140"/>
    <x v="1"/>
    <n v="12"/>
    <n v="1"/>
    <x v="2"/>
    <n v="1"/>
    <n v="246"/>
    <m/>
    <n v="3"/>
    <x v="1"/>
    <x v="1"/>
    <x v="0"/>
    <n v="3929"/>
    <x v="0"/>
    <s v="Jan"/>
  </r>
  <r>
    <n v="34"/>
    <x v="2"/>
    <x v="1"/>
    <m/>
    <m/>
    <s v="Travel_Rarely"/>
    <n v="629"/>
    <x v="1"/>
    <n v="27"/>
    <n v="2"/>
    <x v="2"/>
    <n v="1"/>
    <n v="247"/>
    <m/>
    <n v="4"/>
    <x v="1"/>
    <x v="1"/>
    <x v="1"/>
    <n v="2311"/>
    <x v="1"/>
    <s v="Jan"/>
  </r>
  <r>
    <n v="41"/>
    <x v="0"/>
    <x v="0"/>
    <m/>
    <m/>
    <s v="Travel_Rarely"/>
    <n v="1356"/>
    <x v="0"/>
    <n v="20"/>
    <n v="2"/>
    <x v="3"/>
    <n v="1"/>
    <n v="248"/>
    <m/>
    <n v="2"/>
    <x v="1"/>
    <x v="6"/>
    <x v="1"/>
    <n v="3140"/>
    <x v="0"/>
    <s v="Jan"/>
  </r>
  <r>
    <n v="50"/>
    <x v="1"/>
    <x v="1"/>
    <m/>
    <m/>
    <s v="Travel_Rarely"/>
    <n v="328"/>
    <x v="1"/>
    <n v="1"/>
    <n v="3"/>
    <x v="2"/>
    <n v="1"/>
    <n v="249"/>
    <m/>
    <n v="3"/>
    <x v="1"/>
    <x v="2"/>
    <x v="2"/>
    <n v="3690"/>
    <x v="1"/>
    <s v="Jan"/>
  </r>
  <r>
    <n v="53"/>
    <x v="1"/>
    <x v="1"/>
    <m/>
    <m/>
    <s v="Travel_Rarely"/>
    <n v="1084"/>
    <x v="1"/>
    <n v="13"/>
    <n v="2"/>
    <x v="2"/>
    <n v="1"/>
    <n v="250"/>
    <m/>
    <n v="4"/>
    <x v="0"/>
    <x v="3"/>
    <x v="3"/>
    <n v="4450"/>
    <x v="1"/>
    <s v="Jan"/>
  </r>
  <r>
    <n v="33"/>
    <x v="2"/>
    <x v="1"/>
    <m/>
    <m/>
    <s v="Travel_Rarely"/>
    <n v="931"/>
    <x v="1"/>
    <n v="14"/>
    <n v="3"/>
    <x v="2"/>
    <n v="1"/>
    <n v="252"/>
    <m/>
    <n v="4"/>
    <x v="1"/>
    <x v="1"/>
    <x v="1"/>
    <n v="2756"/>
    <x v="1"/>
    <s v="Jan"/>
  </r>
  <r>
    <n v="40"/>
    <x v="0"/>
    <x v="1"/>
    <m/>
    <m/>
    <s v="Travel_Rarely"/>
    <n v="989"/>
    <x v="1"/>
    <n v="4"/>
    <n v="1"/>
    <x v="2"/>
    <n v="1"/>
    <n v="253"/>
    <m/>
    <n v="4"/>
    <x v="4"/>
    <x v="5"/>
    <x v="2"/>
    <n v="19033"/>
    <x v="1"/>
    <s v="Jan"/>
  </r>
  <r>
    <n v="55"/>
    <x v="3"/>
    <x v="1"/>
    <m/>
    <m/>
    <s v="Travel_Rarely"/>
    <n v="692"/>
    <x v="1"/>
    <n v="14"/>
    <n v="4"/>
    <x v="2"/>
    <n v="1"/>
    <n v="254"/>
    <m/>
    <n v="3"/>
    <x v="4"/>
    <x v="7"/>
    <x v="1"/>
    <n v="18722"/>
    <x v="1"/>
    <s v="Jan"/>
  </r>
  <r>
    <n v="34"/>
    <x v="2"/>
    <x v="1"/>
    <m/>
    <m/>
    <s v="Travel_Frequently"/>
    <n v="1069"/>
    <x v="1"/>
    <n v="2"/>
    <n v="1"/>
    <x v="0"/>
    <n v="1"/>
    <n v="256"/>
    <m/>
    <n v="4"/>
    <x v="0"/>
    <x v="3"/>
    <x v="2"/>
    <n v="9547"/>
    <x v="1"/>
    <s v="Jan"/>
  </r>
  <r>
    <n v="51"/>
    <x v="1"/>
    <x v="1"/>
    <m/>
    <m/>
    <s v="Travel_Rarely"/>
    <n v="313"/>
    <x v="1"/>
    <n v="3"/>
    <n v="3"/>
    <x v="2"/>
    <n v="1"/>
    <n v="258"/>
    <m/>
    <n v="4"/>
    <x v="3"/>
    <x v="4"/>
    <x v="1"/>
    <n v="13734"/>
    <x v="1"/>
    <s v="Jan"/>
  </r>
  <r>
    <n v="52"/>
    <x v="1"/>
    <x v="1"/>
    <m/>
    <m/>
    <s v="Travel_Rarely"/>
    <n v="699"/>
    <x v="1"/>
    <n v="1"/>
    <n v="4"/>
    <x v="0"/>
    <n v="1"/>
    <n v="259"/>
    <m/>
    <n v="3"/>
    <x v="4"/>
    <x v="5"/>
    <x v="2"/>
    <n v="19999"/>
    <x v="1"/>
    <s v="Jan"/>
  </r>
  <r>
    <n v="27"/>
    <x v="2"/>
    <x v="1"/>
    <m/>
    <m/>
    <s v="Travel_Rarely"/>
    <n v="894"/>
    <x v="1"/>
    <n v="9"/>
    <n v="3"/>
    <x v="2"/>
    <n v="1"/>
    <n v="260"/>
    <m/>
    <n v="4"/>
    <x v="1"/>
    <x v="1"/>
    <x v="1"/>
    <n v="2279"/>
    <x v="1"/>
    <s v="Jan"/>
  </r>
  <r>
    <n v="35"/>
    <x v="0"/>
    <x v="0"/>
    <m/>
    <m/>
    <s v="Travel_Rarely"/>
    <n v="556"/>
    <x v="1"/>
    <n v="23"/>
    <n v="2"/>
    <x v="0"/>
    <n v="1"/>
    <n v="261"/>
    <m/>
    <n v="2"/>
    <x v="0"/>
    <x v="3"/>
    <x v="2"/>
    <n v="5916"/>
    <x v="0"/>
    <s v="Jan"/>
  </r>
  <r>
    <n v="43"/>
    <x v="0"/>
    <x v="1"/>
    <m/>
    <m/>
    <s v="Non-Travel"/>
    <n v="1344"/>
    <x v="1"/>
    <n v="7"/>
    <n v="3"/>
    <x v="2"/>
    <n v="1"/>
    <n v="262"/>
    <m/>
    <n v="4"/>
    <x v="1"/>
    <x v="1"/>
    <x v="0"/>
    <n v="2089"/>
    <x v="1"/>
    <s v="Jan"/>
  </r>
  <r>
    <n v="45"/>
    <x v="1"/>
    <x v="1"/>
    <m/>
    <m/>
    <s v="Non-Travel"/>
    <n v="1195"/>
    <x v="1"/>
    <n v="2"/>
    <n v="2"/>
    <x v="2"/>
    <n v="1"/>
    <n v="264"/>
    <m/>
    <n v="1"/>
    <x v="3"/>
    <x v="5"/>
    <x v="0"/>
    <n v="16792"/>
    <x v="1"/>
    <s v="Jan"/>
  </r>
  <r>
    <n v="37"/>
    <x v="0"/>
    <x v="1"/>
    <m/>
    <m/>
    <s v="Travel_Rarely"/>
    <n v="290"/>
    <x v="1"/>
    <n v="21"/>
    <n v="3"/>
    <x v="0"/>
    <n v="1"/>
    <n v="267"/>
    <m/>
    <n v="2"/>
    <x v="1"/>
    <x v="1"/>
    <x v="3"/>
    <n v="3564"/>
    <x v="0"/>
    <s v="Jan"/>
  </r>
  <r>
    <n v="35"/>
    <x v="0"/>
    <x v="1"/>
    <m/>
    <m/>
    <s v="Travel_Frequently"/>
    <n v="138"/>
    <x v="1"/>
    <n v="2"/>
    <n v="3"/>
    <x v="2"/>
    <n v="1"/>
    <n v="269"/>
    <m/>
    <n v="2"/>
    <x v="0"/>
    <x v="2"/>
    <x v="1"/>
    <n v="4425"/>
    <x v="1"/>
    <s v="Jan"/>
  </r>
  <r>
    <n v="42"/>
    <x v="0"/>
    <x v="1"/>
    <m/>
    <m/>
    <s v="Non-Travel"/>
    <n v="926"/>
    <x v="1"/>
    <n v="21"/>
    <n v="2"/>
    <x v="2"/>
    <n v="1"/>
    <n v="270"/>
    <m/>
    <n v="3"/>
    <x v="0"/>
    <x v="3"/>
    <x v="2"/>
    <n v="5265"/>
    <x v="1"/>
    <s v="Jan"/>
  </r>
  <r>
    <n v="38"/>
    <x v="0"/>
    <x v="1"/>
    <m/>
    <m/>
    <s v="Travel_Rarely"/>
    <n v="1261"/>
    <x v="1"/>
    <n v="2"/>
    <n v="4"/>
    <x v="0"/>
    <n v="1"/>
    <n v="271"/>
    <m/>
    <n v="4"/>
    <x v="0"/>
    <x v="3"/>
    <x v="2"/>
    <n v="6553"/>
    <x v="1"/>
    <s v="Jan"/>
  </r>
  <r>
    <n v="38"/>
    <x v="0"/>
    <x v="1"/>
    <m/>
    <m/>
    <s v="Travel_Rarely"/>
    <n v="1084"/>
    <x v="1"/>
    <n v="29"/>
    <n v="3"/>
    <x v="4"/>
    <n v="1"/>
    <n v="273"/>
    <m/>
    <n v="4"/>
    <x v="0"/>
    <x v="3"/>
    <x v="0"/>
    <n v="6261"/>
    <x v="1"/>
    <s v="Jan"/>
  </r>
  <r>
    <n v="27"/>
    <x v="2"/>
    <x v="1"/>
    <m/>
    <m/>
    <s v="Travel_Frequently"/>
    <n v="472"/>
    <x v="1"/>
    <n v="1"/>
    <n v="1"/>
    <x v="4"/>
    <n v="1"/>
    <n v="274"/>
    <m/>
    <n v="3"/>
    <x v="0"/>
    <x v="3"/>
    <x v="3"/>
    <n v="4298"/>
    <x v="1"/>
    <s v="Jan"/>
  </r>
  <r>
    <n v="49"/>
    <x v="1"/>
    <x v="1"/>
    <m/>
    <m/>
    <s v="Non-Travel"/>
    <n v="1002"/>
    <x v="1"/>
    <n v="18"/>
    <n v="4"/>
    <x v="0"/>
    <n v="1"/>
    <n v="275"/>
    <m/>
    <n v="4"/>
    <x v="0"/>
    <x v="3"/>
    <x v="0"/>
    <n v="6804"/>
    <x v="0"/>
    <s v="Jan"/>
  </r>
  <r>
    <n v="34"/>
    <x v="2"/>
    <x v="1"/>
    <m/>
    <m/>
    <s v="Travel_Frequently"/>
    <n v="878"/>
    <x v="1"/>
    <n v="10"/>
    <n v="4"/>
    <x v="2"/>
    <n v="1"/>
    <n v="277"/>
    <m/>
    <n v="4"/>
    <x v="1"/>
    <x v="1"/>
    <x v="2"/>
    <n v="3815"/>
    <x v="0"/>
    <s v="Jan"/>
  </r>
  <r>
    <n v="40"/>
    <x v="0"/>
    <x v="1"/>
    <m/>
    <m/>
    <s v="Travel_Rarely"/>
    <n v="905"/>
    <x v="1"/>
    <n v="19"/>
    <n v="2"/>
    <x v="2"/>
    <n v="1"/>
    <n v="281"/>
    <m/>
    <n v="3"/>
    <x v="0"/>
    <x v="2"/>
    <x v="0"/>
    <n v="2741"/>
    <x v="0"/>
    <s v="Jan"/>
  </r>
  <r>
    <n v="38"/>
    <x v="0"/>
    <x v="0"/>
    <m/>
    <m/>
    <s v="Travel_Rarely"/>
    <n v="1180"/>
    <x v="1"/>
    <n v="29"/>
    <n v="1"/>
    <x v="2"/>
    <n v="1"/>
    <n v="282"/>
    <m/>
    <n v="2"/>
    <x v="0"/>
    <x v="4"/>
    <x v="3"/>
    <n v="6673"/>
    <x v="0"/>
    <s v="Jan"/>
  </r>
  <r>
    <n v="29"/>
    <x v="2"/>
    <x v="0"/>
    <m/>
    <m/>
    <s v="Travel_Rarely"/>
    <n v="121"/>
    <x v="0"/>
    <n v="27"/>
    <n v="3"/>
    <x v="3"/>
    <n v="1"/>
    <n v="283"/>
    <m/>
    <n v="2"/>
    <x v="2"/>
    <x v="0"/>
    <x v="0"/>
    <n v="7639"/>
    <x v="1"/>
    <s v="Jan"/>
  </r>
  <r>
    <n v="22"/>
    <x v="4"/>
    <x v="1"/>
    <m/>
    <m/>
    <s v="Travel_Rarely"/>
    <n v="1136"/>
    <x v="1"/>
    <n v="5"/>
    <n v="3"/>
    <x v="0"/>
    <n v="1"/>
    <n v="284"/>
    <m/>
    <n v="4"/>
    <x v="1"/>
    <x v="1"/>
    <x v="1"/>
    <n v="2328"/>
    <x v="0"/>
    <s v="Jan"/>
  </r>
  <r>
    <n v="36"/>
    <x v="0"/>
    <x v="1"/>
    <m/>
    <m/>
    <s v="Travel_Frequently"/>
    <n v="635"/>
    <x v="1"/>
    <n v="18"/>
    <n v="1"/>
    <x v="2"/>
    <n v="1"/>
    <n v="286"/>
    <m/>
    <n v="2"/>
    <x v="1"/>
    <x v="2"/>
    <x v="0"/>
    <n v="2153"/>
    <x v="1"/>
    <s v="Jan"/>
  </r>
  <r>
    <n v="40"/>
    <x v="0"/>
    <x v="1"/>
    <m/>
    <m/>
    <s v="Non-Travel"/>
    <n v="1151"/>
    <x v="1"/>
    <n v="9"/>
    <n v="5"/>
    <x v="0"/>
    <n v="1"/>
    <n v="287"/>
    <m/>
    <n v="4"/>
    <x v="0"/>
    <x v="4"/>
    <x v="0"/>
    <n v="4876"/>
    <x v="1"/>
    <s v="Jan"/>
  </r>
  <r>
    <n v="46"/>
    <x v="1"/>
    <x v="1"/>
    <m/>
    <m/>
    <s v="Travel_Rarely"/>
    <n v="644"/>
    <x v="1"/>
    <n v="1"/>
    <n v="4"/>
    <x v="2"/>
    <n v="1"/>
    <n v="288"/>
    <m/>
    <n v="4"/>
    <x v="2"/>
    <x v="4"/>
    <x v="3"/>
    <n v="9396"/>
    <x v="1"/>
    <s v="Jan"/>
  </r>
  <r>
    <n v="32"/>
    <x v="2"/>
    <x v="0"/>
    <m/>
    <m/>
    <s v="Travel_Rarely"/>
    <n v="1045"/>
    <x v="0"/>
    <n v="4"/>
    <n v="4"/>
    <x v="2"/>
    <n v="1"/>
    <n v="291"/>
    <m/>
    <n v="4"/>
    <x v="2"/>
    <x v="0"/>
    <x v="0"/>
    <n v="10400"/>
    <x v="1"/>
    <s v="Jan"/>
  </r>
  <r>
    <n v="30"/>
    <x v="2"/>
    <x v="1"/>
    <m/>
    <m/>
    <s v="Non-Travel"/>
    <n v="829"/>
    <x v="1"/>
    <n v="1"/>
    <n v="1"/>
    <x v="0"/>
    <n v="1"/>
    <n v="292"/>
    <m/>
    <n v="3"/>
    <x v="2"/>
    <x v="3"/>
    <x v="2"/>
    <n v="8474"/>
    <x v="1"/>
    <s v="Jan"/>
  </r>
  <r>
    <n v="27"/>
    <x v="2"/>
    <x v="1"/>
    <m/>
    <m/>
    <s v="Travel_Frequently"/>
    <n v="1242"/>
    <x v="0"/>
    <n v="20"/>
    <n v="3"/>
    <x v="0"/>
    <n v="1"/>
    <n v="293"/>
    <m/>
    <n v="4"/>
    <x v="0"/>
    <x v="0"/>
    <x v="2"/>
    <n v="9981"/>
    <x v="1"/>
    <s v="Jan"/>
  </r>
  <r>
    <n v="51"/>
    <x v="1"/>
    <x v="1"/>
    <m/>
    <m/>
    <s v="Travel_Rarely"/>
    <n v="1469"/>
    <x v="1"/>
    <n v="8"/>
    <n v="4"/>
    <x v="0"/>
    <n v="1"/>
    <n v="296"/>
    <m/>
    <n v="2"/>
    <x v="2"/>
    <x v="7"/>
    <x v="1"/>
    <n v="12490"/>
    <x v="1"/>
    <s v="Jan"/>
  </r>
  <r>
    <n v="30"/>
    <x v="2"/>
    <x v="0"/>
    <m/>
    <m/>
    <s v="Travel_Rarely"/>
    <n v="1005"/>
    <x v="1"/>
    <n v="3"/>
    <n v="3"/>
    <x v="4"/>
    <n v="1"/>
    <n v="297"/>
    <m/>
    <n v="4"/>
    <x v="1"/>
    <x v="1"/>
    <x v="3"/>
    <n v="2657"/>
    <x v="0"/>
    <s v="Jan"/>
  </r>
  <r>
    <n v="41"/>
    <x v="0"/>
    <x v="1"/>
    <m/>
    <m/>
    <s v="Travel_Rarely"/>
    <n v="896"/>
    <x v="0"/>
    <n v="6"/>
    <n v="3"/>
    <x v="0"/>
    <n v="1"/>
    <n v="298"/>
    <m/>
    <n v="4"/>
    <x v="2"/>
    <x v="5"/>
    <x v="0"/>
    <n v="13591"/>
    <x v="0"/>
    <s v="Jan"/>
  </r>
  <r>
    <n v="30"/>
    <x v="2"/>
    <x v="0"/>
    <m/>
    <m/>
    <s v="Travel_Frequently"/>
    <n v="334"/>
    <x v="0"/>
    <n v="26"/>
    <n v="4"/>
    <x v="3"/>
    <n v="1"/>
    <n v="299"/>
    <m/>
    <n v="3"/>
    <x v="0"/>
    <x v="0"/>
    <x v="3"/>
    <n v="6696"/>
    <x v="1"/>
    <s v="Jan"/>
  </r>
  <r>
    <n v="29"/>
    <x v="2"/>
    <x v="0"/>
    <m/>
    <m/>
    <s v="Travel_Rarely"/>
    <n v="992"/>
    <x v="1"/>
    <n v="1"/>
    <n v="3"/>
    <x v="4"/>
    <n v="1"/>
    <n v="300"/>
    <m/>
    <n v="3"/>
    <x v="1"/>
    <x v="1"/>
    <x v="2"/>
    <n v="2058"/>
    <x v="1"/>
    <s v="Jan"/>
  </r>
  <r>
    <n v="45"/>
    <x v="1"/>
    <x v="1"/>
    <m/>
    <m/>
    <s v="Non-Travel"/>
    <n v="1052"/>
    <x v="0"/>
    <n v="6"/>
    <n v="3"/>
    <x v="2"/>
    <n v="1"/>
    <n v="302"/>
    <m/>
    <n v="4"/>
    <x v="2"/>
    <x v="0"/>
    <x v="0"/>
    <n v="8865"/>
    <x v="1"/>
    <s v="Jan"/>
  </r>
  <r>
    <n v="54"/>
    <x v="1"/>
    <x v="1"/>
    <m/>
    <m/>
    <s v="Travel_Rarely"/>
    <n v="1147"/>
    <x v="0"/>
    <n v="3"/>
    <n v="3"/>
    <x v="3"/>
    <n v="1"/>
    <n v="303"/>
    <m/>
    <n v="4"/>
    <x v="0"/>
    <x v="0"/>
    <x v="3"/>
    <n v="5940"/>
    <x v="1"/>
    <s v="Jan"/>
  </r>
  <r>
    <n v="36"/>
    <x v="0"/>
    <x v="1"/>
    <m/>
    <m/>
    <s v="Travel_Rarely"/>
    <n v="1396"/>
    <x v="1"/>
    <n v="5"/>
    <n v="2"/>
    <x v="0"/>
    <n v="1"/>
    <n v="304"/>
    <m/>
    <n v="4"/>
    <x v="0"/>
    <x v="2"/>
    <x v="1"/>
    <n v="5914"/>
    <x v="1"/>
    <s v="Jan"/>
  </r>
  <r>
    <n v="33"/>
    <x v="2"/>
    <x v="1"/>
    <m/>
    <m/>
    <s v="Travel_Rarely"/>
    <n v="147"/>
    <x v="1"/>
    <n v="4"/>
    <n v="4"/>
    <x v="2"/>
    <n v="1"/>
    <n v="305"/>
    <m/>
    <n v="3"/>
    <x v="1"/>
    <x v="1"/>
    <x v="1"/>
    <n v="2622"/>
    <x v="1"/>
    <s v="Jan"/>
  </r>
  <r>
    <n v="37"/>
    <x v="0"/>
    <x v="1"/>
    <m/>
    <m/>
    <s v="Travel_Frequently"/>
    <n v="663"/>
    <x v="1"/>
    <n v="11"/>
    <n v="3"/>
    <x v="1"/>
    <n v="1"/>
    <n v="306"/>
    <m/>
    <n v="2"/>
    <x v="2"/>
    <x v="7"/>
    <x v="0"/>
    <n v="12185"/>
    <x v="0"/>
    <s v="Jan"/>
  </r>
  <r>
    <n v="38"/>
    <x v="0"/>
    <x v="1"/>
    <m/>
    <m/>
    <s v="Travel_Rarely"/>
    <n v="119"/>
    <x v="0"/>
    <n v="3"/>
    <n v="3"/>
    <x v="0"/>
    <n v="1"/>
    <n v="307"/>
    <m/>
    <n v="1"/>
    <x v="2"/>
    <x v="0"/>
    <x v="2"/>
    <n v="10609"/>
    <x v="1"/>
    <s v="Jan"/>
  </r>
  <r>
    <n v="31"/>
    <x v="2"/>
    <x v="1"/>
    <m/>
    <m/>
    <s v="Non-Travel"/>
    <n v="979"/>
    <x v="1"/>
    <n v="1"/>
    <n v="4"/>
    <x v="2"/>
    <n v="1"/>
    <n v="308"/>
    <m/>
    <n v="3"/>
    <x v="0"/>
    <x v="3"/>
    <x v="2"/>
    <n v="4345"/>
    <x v="1"/>
    <s v="Jan"/>
  </r>
  <r>
    <n v="59"/>
    <x v="3"/>
    <x v="1"/>
    <m/>
    <m/>
    <s v="Travel_Rarely"/>
    <n v="142"/>
    <x v="1"/>
    <n v="3"/>
    <n v="3"/>
    <x v="0"/>
    <n v="1"/>
    <n v="309"/>
    <m/>
    <n v="3"/>
    <x v="1"/>
    <x v="1"/>
    <x v="0"/>
    <n v="2177"/>
    <x v="1"/>
    <s v="Jan"/>
  </r>
  <r>
    <n v="37"/>
    <x v="0"/>
    <x v="1"/>
    <m/>
    <m/>
    <s v="Travel_Frequently"/>
    <n v="319"/>
    <x v="0"/>
    <n v="4"/>
    <n v="4"/>
    <x v="3"/>
    <n v="1"/>
    <n v="311"/>
    <m/>
    <n v="1"/>
    <x v="1"/>
    <x v="6"/>
    <x v="0"/>
    <n v="2793"/>
    <x v="1"/>
    <s v="Jan"/>
  </r>
  <r>
    <n v="29"/>
    <x v="2"/>
    <x v="1"/>
    <m/>
    <m/>
    <s v="Travel_Frequently"/>
    <n v="1413"/>
    <x v="0"/>
    <n v="1"/>
    <n v="1"/>
    <x v="2"/>
    <n v="1"/>
    <n v="312"/>
    <m/>
    <n v="2"/>
    <x v="2"/>
    <x v="0"/>
    <x v="0"/>
    <n v="7918"/>
    <x v="1"/>
    <s v="Jan"/>
  </r>
  <r>
    <n v="35"/>
    <x v="0"/>
    <x v="1"/>
    <m/>
    <m/>
    <s v="Travel_Frequently"/>
    <n v="944"/>
    <x v="0"/>
    <n v="1"/>
    <n v="3"/>
    <x v="3"/>
    <n v="1"/>
    <n v="314"/>
    <m/>
    <n v="3"/>
    <x v="2"/>
    <x v="0"/>
    <x v="2"/>
    <n v="8789"/>
    <x v="1"/>
    <s v="Jan"/>
  </r>
  <r>
    <n v="29"/>
    <x v="2"/>
    <x v="0"/>
    <m/>
    <m/>
    <s v="Travel_Rarely"/>
    <n v="896"/>
    <x v="1"/>
    <n v="18"/>
    <n v="1"/>
    <x v="2"/>
    <n v="1"/>
    <n v="315"/>
    <m/>
    <n v="3"/>
    <x v="1"/>
    <x v="1"/>
    <x v="0"/>
    <n v="2389"/>
    <x v="0"/>
    <s v="Jan"/>
  </r>
  <r>
    <n v="52"/>
    <x v="1"/>
    <x v="1"/>
    <m/>
    <m/>
    <s v="Travel_Rarely"/>
    <n v="1323"/>
    <x v="1"/>
    <n v="2"/>
    <n v="3"/>
    <x v="0"/>
    <n v="1"/>
    <n v="316"/>
    <m/>
    <n v="3"/>
    <x v="1"/>
    <x v="2"/>
    <x v="0"/>
    <n v="3212"/>
    <x v="1"/>
    <s v="Jan"/>
  </r>
  <r>
    <n v="42"/>
    <x v="0"/>
    <x v="1"/>
    <m/>
    <m/>
    <s v="Travel_Rarely"/>
    <n v="532"/>
    <x v="1"/>
    <n v="4"/>
    <n v="2"/>
    <x v="4"/>
    <n v="1"/>
    <n v="319"/>
    <m/>
    <n v="3"/>
    <x v="4"/>
    <x v="5"/>
    <x v="0"/>
    <n v="19232"/>
    <x v="1"/>
    <s v="Jan"/>
  </r>
  <r>
    <n v="59"/>
    <x v="3"/>
    <x v="1"/>
    <m/>
    <m/>
    <s v="Travel_Rarely"/>
    <n v="818"/>
    <x v="2"/>
    <n v="6"/>
    <n v="2"/>
    <x v="2"/>
    <n v="1"/>
    <n v="321"/>
    <m/>
    <n v="2"/>
    <x v="1"/>
    <x v="8"/>
    <x v="2"/>
    <n v="2267"/>
    <x v="1"/>
    <s v="Jan"/>
  </r>
  <r>
    <n v="50"/>
    <x v="1"/>
    <x v="1"/>
    <m/>
    <m/>
    <s v="Travel_Rarely"/>
    <n v="854"/>
    <x v="0"/>
    <n v="1"/>
    <n v="4"/>
    <x v="2"/>
    <n v="1"/>
    <n v="323"/>
    <m/>
    <n v="4"/>
    <x v="4"/>
    <x v="5"/>
    <x v="0"/>
    <n v="19517"/>
    <x v="1"/>
    <s v="Jan"/>
  </r>
  <r>
    <n v="33"/>
    <x v="2"/>
    <x v="0"/>
    <m/>
    <m/>
    <s v="Travel_Rarely"/>
    <n v="813"/>
    <x v="1"/>
    <n v="14"/>
    <n v="3"/>
    <x v="2"/>
    <n v="1"/>
    <n v="325"/>
    <m/>
    <n v="3"/>
    <x v="1"/>
    <x v="2"/>
    <x v="0"/>
    <n v="2436"/>
    <x v="0"/>
    <s v="Jan"/>
  </r>
  <r>
    <n v="43"/>
    <x v="0"/>
    <x v="1"/>
    <m/>
    <m/>
    <s v="Travel_Rarely"/>
    <n v="1034"/>
    <x v="0"/>
    <n v="16"/>
    <n v="3"/>
    <x v="3"/>
    <n v="1"/>
    <n v="327"/>
    <m/>
    <n v="4"/>
    <x v="3"/>
    <x v="5"/>
    <x v="0"/>
    <n v="16064"/>
    <x v="0"/>
    <s v="Jan"/>
  </r>
  <r>
    <n v="33"/>
    <x v="2"/>
    <x v="0"/>
    <m/>
    <m/>
    <s v="Travel_Rarely"/>
    <n v="465"/>
    <x v="1"/>
    <n v="2"/>
    <n v="2"/>
    <x v="0"/>
    <n v="1"/>
    <n v="328"/>
    <m/>
    <n v="1"/>
    <x v="1"/>
    <x v="2"/>
    <x v="3"/>
    <n v="2707"/>
    <x v="1"/>
    <s v="Jan"/>
  </r>
  <r>
    <n v="52"/>
    <x v="1"/>
    <x v="1"/>
    <m/>
    <m/>
    <s v="Non-Travel"/>
    <n v="771"/>
    <x v="0"/>
    <n v="2"/>
    <n v="4"/>
    <x v="0"/>
    <n v="1"/>
    <n v="329"/>
    <m/>
    <n v="1"/>
    <x v="4"/>
    <x v="5"/>
    <x v="2"/>
    <n v="19068"/>
    <x v="0"/>
    <s v="Jan"/>
  </r>
  <r>
    <n v="32"/>
    <x v="2"/>
    <x v="1"/>
    <m/>
    <m/>
    <s v="Travel_Rarely"/>
    <n v="1401"/>
    <x v="0"/>
    <n v="4"/>
    <n v="2"/>
    <x v="0"/>
    <n v="1"/>
    <n v="330"/>
    <m/>
    <n v="3"/>
    <x v="1"/>
    <x v="6"/>
    <x v="1"/>
    <n v="3931"/>
    <x v="1"/>
    <s v="Jan"/>
  </r>
  <r>
    <n v="32"/>
    <x v="2"/>
    <x v="0"/>
    <m/>
    <m/>
    <s v="Travel_Rarely"/>
    <n v="515"/>
    <x v="1"/>
    <n v="1"/>
    <n v="3"/>
    <x v="0"/>
    <n v="1"/>
    <n v="331"/>
    <m/>
    <n v="4"/>
    <x v="1"/>
    <x v="2"/>
    <x v="2"/>
    <n v="3730"/>
    <x v="0"/>
    <s v="Jan"/>
  </r>
  <r>
    <n v="39"/>
    <x v="0"/>
    <x v="1"/>
    <m/>
    <m/>
    <s v="Travel_Rarely"/>
    <n v="1431"/>
    <x v="1"/>
    <n v="1"/>
    <n v="4"/>
    <x v="2"/>
    <n v="1"/>
    <n v="332"/>
    <m/>
    <n v="3"/>
    <x v="1"/>
    <x v="2"/>
    <x v="2"/>
    <n v="2232"/>
    <x v="1"/>
    <s v="Jan"/>
  </r>
  <r>
    <n v="32"/>
    <x v="2"/>
    <x v="1"/>
    <m/>
    <m/>
    <s v="Non-Travel"/>
    <n v="976"/>
    <x v="0"/>
    <n v="26"/>
    <n v="4"/>
    <x v="3"/>
    <n v="1"/>
    <n v="333"/>
    <m/>
    <n v="3"/>
    <x v="0"/>
    <x v="0"/>
    <x v="0"/>
    <n v="4465"/>
    <x v="1"/>
    <s v="Jan"/>
  </r>
  <r>
    <n v="41"/>
    <x v="0"/>
    <x v="1"/>
    <m/>
    <m/>
    <s v="Travel_Rarely"/>
    <n v="1411"/>
    <x v="1"/>
    <n v="19"/>
    <n v="2"/>
    <x v="0"/>
    <n v="1"/>
    <n v="334"/>
    <m/>
    <n v="3"/>
    <x v="0"/>
    <x v="1"/>
    <x v="3"/>
    <n v="3072"/>
    <x v="1"/>
    <s v="Jan"/>
  </r>
  <r>
    <n v="40"/>
    <x v="0"/>
    <x v="1"/>
    <m/>
    <m/>
    <s v="Travel_Rarely"/>
    <n v="1300"/>
    <x v="1"/>
    <n v="24"/>
    <n v="2"/>
    <x v="4"/>
    <n v="1"/>
    <n v="335"/>
    <m/>
    <n v="1"/>
    <x v="0"/>
    <x v="1"/>
    <x v="0"/>
    <n v="3319"/>
    <x v="1"/>
    <s v="Jan"/>
  </r>
  <r>
    <n v="45"/>
    <x v="1"/>
    <x v="1"/>
    <m/>
    <m/>
    <s v="Travel_Rarely"/>
    <n v="252"/>
    <x v="1"/>
    <n v="1"/>
    <n v="3"/>
    <x v="1"/>
    <n v="1"/>
    <n v="336"/>
    <m/>
    <n v="3"/>
    <x v="4"/>
    <x v="5"/>
    <x v="0"/>
    <n v="19202"/>
    <x v="1"/>
    <s v="Jan"/>
  </r>
  <r>
    <n v="31"/>
    <x v="2"/>
    <x v="1"/>
    <m/>
    <m/>
    <s v="Travel_Frequently"/>
    <n v="1327"/>
    <x v="1"/>
    <n v="3"/>
    <n v="4"/>
    <x v="2"/>
    <n v="1"/>
    <n v="337"/>
    <m/>
    <n v="2"/>
    <x v="2"/>
    <x v="7"/>
    <x v="2"/>
    <n v="13675"/>
    <x v="1"/>
    <s v="Jan"/>
  </r>
  <r>
    <n v="33"/>
    <x v="2"/>
    <x v="1"/>
    <m/>
    <m/>
    <s v="Travel_Rarely"/>
    <n v="832"/>
    <x v="1"/>
    <n v="5"/>
    <n v="4"/>
    <x v="0"/>
    <n v="1"/>
    <n v="338"/>
    <m/>
    <n v="3"/>
    <x v="1"/>
    <x v="1"/>
    <x v="0"/>
    <n v="2911"/>
    <x v="1"/>
    <s v="Jan"/>
  </r>
  <r>
    <n v="34"/>
    <x v="2"/>
    <x v="1"/>
    <m/>
    <m/>
    <s v="Travel_Rarely"/>
    <n v="470"/>
    <x v="1"/>
    <n v="2"/>
    <n v="4"/>
    <x v="0"/>
    <n v="1"/>
    <n v="339"/>
    <m/>
    <n v="4"/>
    <x v="0"/>
    <x v="3"/>
    <x v="3"/>
    <n v="5957"/>
    <x v="1"/>
    <s v="Jan"/>
  </r>
  <r>
    <n v="37"/>
    <x v="0"/>
    <x v="1"/>
    <m/>
    <m/>
    <s v="Travel_Rarely"/>
    <n v="1017"/>
    <x v="1"/>
    <n v="1"/>
    <n v="2"/>
    <x v="2"/>
    <n v="1"/>
    <n v="340"/>
    <m/>
    <n v="3"/>
    <x v="1"/>
    <x v="1"/>
    <x v="3"/>
    <n v="3920"/>
    <x v="1"/>
    <s v="Jan"/>
  </r>
  <r>
    <n v="45"/>
    <x v="1"/>
    <x v="1"/>
    <m/>
    <m/>
    <s v="Travel_Frequently"/>
    <n v="1199"/>
    <x v="1"/>
    <n v="7"/>
    <n v="4"/>
    <x v="0"/>
    <n v="1"/>
    <n v="341"/>
    <m/>
    <n v="1"/>
    <x v="0"/>
    <x v="3"/>
    <x v="2"/>
    <n v="6434"/>
    <x v="1"/>
    <s v="Jan"/>
  </r>
  <r>
    <n v="37"/>
    <x v="0"/>
    <x v="0"/>
    <m/>
    <m/>
    <s v="Travel_Frequently"/>
    <n v="504"/>
    <x v="1"/>
    <n v="10"/>
    <n v="3"/>
    <x v="2"/>
    <n v="1"/>
    <n v="342"/>
    <m/>
    <n v="1"/>
    <x v="2"/>
    <x v="3"/>
    <x v="2"/>
    <n v="10048"/>
    <x v="1"/>
    <s v="Jan"/>
  </r>
  <r>
    <n v="39"/>
    <x v="0"/>
    <x v="1"/>
    <m/>
    <m/>
    <s v="Travel_Frequently"/>
    <n v="505"/>
    <x v="1"/>
    <n v="2"/>
    <n v="4"/>
    <x v="4"/>
    <n v="1"/>
    <n v="343"/>
    <m/>
    <n v="3"/>
    <x v="2"/>
    <x v="4"/>
    <x v="2"/>
    <n v="10938"/>
    <x v="1"/>
    <s v="Jan"/>
  </r>
  <r>
    <n v="29"/>
    <x v="2"/>
    <x v="1"/>
    <m/>
    <m/>
    <s v="Travel_Rarely"/>
    <n v="665"/>
    <x v="1"/>
    <n v="15"/>
    <n v="3"/>
    <x v="0"/>
    <n v="1"/>
    <n v="346"/>
    <m/>
    <n v="3"/>
    <x v="1"/>
    <x v="1"/>
    <x v="0"/>
    <n v="2340"/>
    <x v="1"/>
    <s v="Jan"/>
  </r>
  <r>
    <n v="42"/>
    <x v="0"/>
    <x v="1"/>
    <m/>
    <m/>
    <s v="Travel_Rarely"/>
    <n v="916"/>
    <x v="1"/>
    <n v="17"/>
    <n v="2"/>
    <x v="0"/>
    <n v="1"/>
    <n v="347"/>
    <m/>
    <n v="4"/>
    <x v="0"/>
    <x v="1"/>
    <x v="3"/>
    <n v="6545"/>
    <x v="0"/>
    <s v="Jan"/>
  </r>
  <r>
    <n v="29"/>
    <x v="2"/>
    <x v="1"/>
    <m/>
    <m/>
    <s v="Travel_Rarely"/>
    <n v="1247"/>
    <x v="0"/>
    <n v="20"/>
    <n v="2"/>
    <x v="3"/>
    <n v="1"/>
    <n v="349"/>
    <m/>
    <n v="4"/>
    <x v="0"/>
    <x v="0"/>
    <x v="0"/>
    <n v="6931"/>
    <x v="1"/>
    <s v="Jan"/>
  </r>
  <r>
    <n v="25"/>
    <x v="2"/>
    <x v="1"/>
    <m/>
    <m/>
    <s v="Travel_Rarely"/>
    <n v="685"/>
    <x v="1"/>
    <n v="1"/>
    <n v="3"/>
    <x v="0"/>
    <n v="1"/>
    <n v="350"/>
    <m/>
    <n v="1"/>
    <x v="0"/>
    <x v="3"/>
    <x v="2"/>
    <n v="4898"/>
    <x v="1"/>
    <s v="Jan"/>
  </r>
  <r>
    <n v="42"/>
    <x v="0"/>
    <x v="1"/>
    <m/>
    <m/>
    <s v="Travel_Rarely"/>
    <n v="269"/>
    <x v="1"/>
    <n v="2"/>
    <n v="3"/>
    <x v="2"/>
    <n v="1"/>
    <n v="351"/>
    <m/>
    <n v="4"/>
    <x v="1"/>
    <x v="2"/>
    <x v="3"/>
    <n v="2593"/>
    <x v="0"/>
    <s v="Jan"/>
  </r>
  <r>
    <n v="40"/>
    <x v="0"/>
    <x v="1"/>
    <m/>
    <m/>
    <s v="Travel_Rarely"/>
    <n v="1416"/>
    <x v="1"/>
    <n v="2"/>
    <n v="2"/>
    <x v="2"/>
    <n v="1"/>
    <n v="352"/>
    <m/>
    <n v="1"/>
    <x v="4"/>
    <x v="7"/>
    <x v="2"/>
    <n v="19436"/>
    <x v="1"/>
    <s v="Jan"/>
  </r>
  <r>
    <n v="51"/>
    <x v="1"/>
    <x v="1"/>
    <m/>
    <m/>
    <s v="Travel_Rarely"/>
    <n v="833"/>
    <x v="1"/>
    <n v="1"/>
    <n v="3"/>
    <x v="0"/>
    <n v="1"/>
    <n v="353"/>
    <m/>
    <n v="3"/>
    <x v="1"/>
    <x v="1"/>
    <x v="0"/>
    <n v="2723"/>
    <x v="1"/>
    <s v="Jan"/>
  </r>
  <r>
    <n v="31"/>
    <x v="2"/>
    <x v="0"/>
    <m/>
    <m/>
    <s v="Travel_Frequently"/>
    <n v="307"/>
    <x v="1"/>
    <n v="29"/>
    <n v="2"/>
    <x v="2"/>
    <n v="1"/>
    <n v="355"/>
    <m/>
    <n v="3"/>
    <x v="1"/>
    <x v="2"/>
    <x v="1"/>
    <n v="3479"/>
    <x v="1"/>
    <s v="Jan"/>
  </r>
  <r>
    <n v="32"/>
    <x v="2"/>
    <x v="1"/>
    <m/>
    <m/>
    <s v="Travel_Frequently"/>
    <n v="1311"/>
    <x v="1"/>
    <n v="7"/>
    <n v="3"/>
    <x v="0"/>
    <n v="1"/>
    <n v="359"/>
    <m/>
    <n v="2"/>
    <x v="1"/>
    <x v="2"/>
    <x v="1"/>
    <n v="2794"/>
    <x v="1"/>
    <s v="Jan"/>
  </r>
  <r>
    <n v="38"/>
    <x v="0"/>
    <x v="1"/>
    <m/>
    <m/>
    <s v="Non-Travel"/>
    <n v="1327"/>
    <x v="0"/>
    <n v="2"/>
    <n v="2"/>
    <x v="0"/>
    <n v="1"/>
    <n v="361"/>
    <m/>
    <n v="4"/>
    <x v="0"/>
    <x v="0"/>
    <x v="0"/>
    <n v="5249"/>
    <x v="1"/>
    <s v="Jan"/>
  </r>
  <r>
    <n v="32"/>
    <x v="2"/>
    <x v="1"/>
    <m/>
    <m/>
    <s v="Travel_Rarely"/>
    <n v="128"/>
    <x v="1"/>
    <n v="2"/>
    <n v="1"/>
    <x v="4"/>
    <n v="1"/>
    <n v="362"/>
    <m/>
    <n v="4"/>
    <x v="0"/>
    <x v="2"/>
    <x v="3"/>
    <n v="2176"/>
    <x v="1"/>
    <s v="Jan"/>
  </r>
  <r>
    <n v="46"/>
    <x v="1"/>
    <x v="1"/>
    <m/>
    <m/>
    <s v="Travel_Rarely"/>
    <n v="488"/>
    <x v="0"/>
    <n v="2"/>
    <n v="3"/>
    <x v="4"/>
    <n v="1"/>
    <n v="363"/>
    <m/>
    <n v="3"/>
    <x v="3"/>
    <x v="5"/>
    <x v="1"/>
    <n v="16872"/>
    <x v="0"/>
    <s v="Jan"/>
  </r>
  <r>
    <n v="28"/>
    <x v="2"/>
    <x v="0"/>
    <m/>
    <m/>
    <s v="Travel_Rarely"/>
    <n v="529"/>
    <x v="1"/>
    <n v="2"/>
    <n v="4"/>
    <x v="0"/>
    <n v="1"/>
    <n v="364"/>
    <m/>
    <n v="1"/>
    <x v="1"/>
    <x v="2"/>
    <x v="2"/>
    <n v="3485"/>
    <x v="1"/>
    <s v="Jan"/>
  </r>
  <r>
    <n v="29"/>
    <x v="2"/>
    <x v="1"/>
    <m/>
    <m/>
    <s v="Travel_Rarely"/>
    <n v="1210"/>
    <x v="0"/>
    <n v="2"/>
    <n v="3"/>
    <x v="2"/>
    <n v="1"/>
    <n v="366"/>
    <m/>
    <n v="1"/>
    <x v="0"/>
    <x v="0"/>
    <x v="1"/>
    <n v="6644"/>
    <x v="1"/>
    <s v="Jan"/>
  </r>
  <r>
    <n v="31"/>
    <x v="2"/>
    <x v="1"/>
    <m/>
    <m/>
    <s v="Travel_Rarely"/>
    <n v="1463"/>
    <x v="1"/>
    <n v="23"/>
    <n v="3"/>
    <x v="2"/>
    <n v="1"/>
    <n v="367"/>
    <m/>
    <n v="2"/>
    <x v="0"/>
    <x v="4"/>
    <x v="0"/>
    <n v="5582"/>
    <x v="1"/>
    <s v="Jan"/>
  </r>
  <r>
    <n v="25"/>
    <x v="2"/>
    <x v="1"/>
    <m/>
    <m/>
    <s v="Non-Travel"/>
    <n v="675"/>
    <x v="1"/>
    <n v="5"/>
    <n v="2"/>
    <x v="0"/>
    <n v="1"/>
    <n v="369"/>
    <m/>
    <n v="2"/>
    <x v="0"/>
    <x v="4"/>
    <x v="3"/>
    <n v="4000"/>
    <x v="1"/>
    <s v="Jan"/>
  </r>
  <r>
    <n v="45"/>
    <x v="1"/>
    <x v="1"/>
    <m/>
    <m/>
    <s v="Travel_Rarely"/>
    <n v="1385"/>
    <x v="1"/>
    <n v="20"/>
    <n v="2"/>
    <x v="2"/>
    <n v="1"/>
    <n v="372"/>
    <m/>
    <n v="3"/>
    <x v="3"/>
    <x v="4"/>
    <x v="0"/>
    <n v="13496"/>
    <x v="0"/>
    <s v="Jan"/>
  </r>
  <r>
    <n v="36"/>
    <x v="0"/>
    <x v="1"/>
    <m/>
    <m/>
    <s v="Travel_Rarely"/>
    <n v="1403"/>
    <x v="1"/>
    <n v="6"/>
    <n v="3"/>
    <x v="0"/>
    <n v="1"/>
    <n v="373"/>
    <m/>
    <n v="4"/>
    <x v="1"/>
    <x v="2"/>
    <x v="0"/>
    <n v="3210"/>
    <x v="1"/>
    <s v="Jan"/>
  </r>
  <r>
    <n v="55"/>
    <x v="3"/>
    <x v="1"/>
    <m/>
    <m/>
    <s v="Travel_Rarely"/>
    <n v="452"/>
    <x v="1"/>
    <n v="1"/>
    <n v="3"/>
    <x v="2"/>
    <n v="1"/>
    <n v="374"/>
    <m/>
    <n v="4"/>
    <x v="4"/>
    <x v="5"/>
    <x v="3"/>
    <n v="19045"/>
    <x v="0"/>
    <s v="Jan"/>
  </r>
  <r>
    <n v="47"/>
    <x v="1"/>
    <x v="0"/>
    <m/>
    <m/>
    <s v="Non-Travel"/>
    <n v="666"/>
    <x v="1"/>
    <n v="29"/>
    <n v="4"/>
    <x v="0"/>
    <n v="1"/>
    <n v="376"/>
    <m/>
    <n v="1"/>
    <x v="2"/>
    <x v="5"/>
    <x v="1"/>
    <n v="11849"/>
    <x v="0"/>
    <s v="Jan"/>
  </r>
  <r>
    <n v="28"/>
    <x v="2"/>
    <x v="1"/>
    <m/>
    <m/>
    <s v="Travel_Rarely"/>
    <n v="1158"/>
    <x v="1"/>
    <n v="9"/>
    <n v="3"/>
    <x v="2"/>
    <n v="1"/>
    <n v="377"/>
    <m/>
    <n v="4"/>
    <x v="1"/>
    <x v="1"/>
    <x v="0"/>
    <n v="2070"/>
    <x v="1"/>
    <s v="Jan"/>
  </r>
  <r>
    <n v="37"/>
    <x v="0"/>
    <x v="1"/>
    <m/>
    <m/>
    <s v="Travel_Rarely"/>
    <n v="228"/>
    <x v="0"/>
    <n v="6"/>
    <n v="4"/>
    <x v="2"/>
    <n v="1"/>
    <n v="378"/>
    <m/>
    <n v="3"/>
    <x v="0"/>
    <x v="0"/>
    <x v="0"/>
    <n v="6502"/>
    <x v="1"/>
    <s v="Jan"/>
  </r>
  <r>
    <n v="21"/>
    <x v="4"/>
    <x v="1"/>
    <m/>
    <m/>
    <s v="Travel_Rarely"/>
    <n v="996"/>
    <x v="1"/>
    <n v="3"/>
    <n v="2"/>
    <x v="2"/>
    <n v="1"/>
    <n v="379"/>
    <m/>
    <n v="4"/>
    <x v="1"/>
    <x v="1"/>
    <x v="2"/>
    <n v="3230"/>
    <x v="1"/>
    <s v="Jan"/>
  </r>
  <r>
    <n v="37"/>
    <x v="0"/>
    <x v="1"/>
    <m/>
    <m/>
    <s v="Non-Travel"/>
    <n v="728"/>
    <x v="1"/>
    <n v="1"/>
    <n v="4"/>
    <x v="2"/>
    <n v="1"/>
    <n v="380"/>
    <m/>
    <n v="1"/>
    <x v="2"/>
    <x v="7"/>
    <x v="0"/>
    <n v="13603"/>
    <x v="0"/>
    <s v="Jan"/>
  </r>
  <r>
    <n v="35"/>
    <x v="0"/>
    <x v="1"/>
    <m/>
    <m/>
    <s v="Travel_Rarely"/>
    <n v="1315"/>
    <x v="1"/>
    <n v="22"/>
    <n v="3"/>
    <x v="0"/>
    <n v="1"/>
    <n v="381"/>
    <m/>
    <n v="2"/>
    <x v="2"/>
    <x v="5"/>
    <x v="1"/>
    <n v="11996"/>
    <x v="1"/>
    <s v="Jan"/>
  </r>
  <r>
    <n v="38"/>
    <x v="0"/>
    <x v="1"/>
    <m/>
    <m/>
    <s v="Travel_Rarely"/>
    <n v="322"/>
    <x v="0"/>
    <n v="7"/>
    <n v="2"/>
    <x v="2"/>
    <n v="1"/>
    <n v="382"/>
    <m/>
    <n v="1"/>
    <x v="0"/>
    <x v="0"/>
    <x v="3"/>
    <n v="5605"/>
    <x v="0"/>
    <s v="Jan"/>
  </r>
  <r>
    <n v="26"/>
    <x v="2"/>
    <x v="1"/>
    <m/>
    <m/>
    <s v="Travel_Frequently"/>
    <n v="1479"/>
    <x v="1"/>
    <n v="1"/>
    <n v="3"/>
    <x v="0"/>
    <n v="1"/>
    <n v="384"/>
    <m/>
    <n v="3"/>
    <x v="0"/>
    <x v="3"/>
    <x v="1"/>
    <n v="6397"/>
    <x v="1"/>
    <s v="Jan"/>
  </r>
  <r>
    <n v="50"/>
    <x v="1"/>
    <x v="1"/>
    <m/>
    <m/>
    <s v="Travel_Rarely"/>
    <n v="797"/>
    <x v="1"/>
    <n v="4"/>
    <n v="1"/>
    <x v="0"/>
    <n v="1"/>
    <n v="385"/>
    <m/>
    <n v="1"/>
    <x v="4"/>
    <x v="7"/>
    <x v="1"/>
    <n v="19144"/>
    <x v="1"/>
    <s v="Jan"/>
  </r>
  <r>
    <n v="53"/>
    <x v="1"/>
    <x v="1"/>
    <m/>
    <m/>
    <s v="Travel_Rarely"/>
    <n v="1070"/>
    <x v="1"/>
    <n v="3"/>
    <n v="4"/>
    <x v="2"/>
    <n v="1"/>
    <n v="386"/>
    <m/>
    <n v="3"/>
    <x v="3"/>
    <x v="7"/>
    <x v="2"/>
    <n v="17584"/>
    <x v="0"/>
    <s v="Jan"/>
  </r>
  <r>
    <n v="42"/>
    <x v="0"/>
    <x v="1"/>
    <m/>
    <m/>
    <s v="Travel_Rarely"/>
    <n v="635"/>
    <x v="0"/>
    <n v="1"/>
    <n v="1"/>
    <x v="0"/>
    <n v="1"/>
    <n v="387"/>
    <m/>
    <n v="2"/>
    <x v="0"/>
    <x v="0"/>
    <x v="2"/>
    <n v="4907"/>
    <x v="1"/>
    <s v="Jan"/>
  </r>
  <r>
    <n v="29"/>
    <x v="2"/>
    <x v="1"/>
    <m/>
    <m/>
    <s v="Travel_Frequently"/>
    <n v="442"/>
    <x v="0"/>
    <n v="2"/>
    <n v="2"/>
    <x v="0"/>
    <n v="1"/>
    <n v="388"/>
    <m/>
    <n v="2"/>
    <x v="0"/>
    <x v="0"/>
    <x v="0"/>
    <n v="4554"/>
    <x v="1"/>
    <s v="Jan"/>
  </r>
  <r>
    <n v="55"/>
    <x v="3"/>
    <x v="1"/>
    <m/>
    <m/>
    <s v="Travel_Rarely"/>
    <n v="147"/>
    <x v="1"/>
    <n v="20"/>
    <n v="2"/>
    <x v="4"/>
    <n v="1"/>
    <n v="389"/>
    <m/>
    <n v="2"/>
    <x v="0"/>
    <x v="2"/>
    <x v="0"/>
    <n v="5415"/>
    <x v="0"/>
    <s v="Jan"/>
  </r>
  <r>
    <n v="26"/>
    <x v="2"/>
    <x v="1"/>
    <m/>
    <m/>
    <s v="Travel_Frequently"/>
    <n v="496"/>
    <x v="1"/>
    <n v="11"/>
    <n v="2"/>
    <x v="2"/>
    <n v="1"/>
    <n v="390"/>
    <m/>
    <n v="1"/>
    <x v="0"/>
    <x v="4"/>
    <x v="3"/>
    <n v="4741"/>
    <x v="0"/>
    <s v="Jan"/>
  </r>
  <r>
    <n v="37"/>
    <x v="0"/>
    <x v="1"/>
    <m/>
    <m/>
    <s v="Travel_Rarely"/>
    <n v="1372"/>
    <x v="1"/>
    <n v="1"/>
    <n v="3"/>
    <x v="0"/>
    <n v="1"/>
    <n v="391"/>
    <m/>
    <n v="4"/>
    <x v="1"/>
    <x v="1"/>
    <x v="0"/>
    <n v="2115"/>
    <x v="1"/>
    <s v="Jan"/>
  </r>
  <r>
    <n v="44"/>
    <x v="0"/>
    <x v="0"/>
    <m/>
    <m/>
    <s v="Travel_Frequently"/>
    <n v="920"/>
    <x v="1"/>
    <n v="24"/>
    <n v="3"/>
    <x v="0"/>
    <n v="1"/>
    <n v="392"/>
    <m/>
    <n v="4"/>
    <x v="1"/>
    <x v="2"/>
    <x v="2"/>
    <n v="3161"/>
    <x v="0"/>
    <s v="Jan"/>
  </r>
  <r>
    <n v="38"/>
    <x v="0"/>
    <x v="1"/>
    <m/>
    <m/>
    <s v="Travel_Rarely"/>
    <n v="688"/>
    <x v="1"/>
    <n v="23"/>
    <n v="4"/>
    <x v="0"/>
    <n v="1"/>
    <n v="393"/>
    <m/>
    <n v="4"/>
    <x v="0"/>
    <x v="4"/>
    <x v="0"/>
    <n v="5745"/>
    <x v="1"/>
    <s v="Jan"/>
  </r>
  <r>
    <n v="26"/>
    <x v="2"/>
    <x v="0"/>
    <m/>
    <m/>
    <s v="Travel_Rarely"/>
    <n v="1449"/>
    <x v="1"/>
    <n v="16"/>
    <n v="4"/>
    <x v="2"/>
    <n v="1"/>
    <n v="394"/>
    <m/>
    <n v="1"/>
    <x v="1"/>
    <x v="2"/>
    <x v="1"/>
    <n v="2373"/>
    <x v="0"/>
    <s v="Jan"/>
  </r>
  <r>
    <n v="28"/>
    <x v="2"/>
    <x v="1"/>
    <m/>
    <m/>
    <s v="Travel_Rarely"/>
    <n v="1117"/>
    <x v="1"/>
    <n v="8"/>
    <n v="2"/>
    <x v="0"/>
    <n v="1"/>
    <n v="395"/>
    <m/>
    <n v="4"/>
    <x v="1"/>
    <x v="1"/>
    <x v="0"/>
    <n v="3310"/>
    <x v="1"/>
    <s v="Jan"/>
  </r>
  <r>
    <n v="49"/>
    <x v="1"/>
    <x v="1"/>
    <m/>
    <m/>
    <s v="Travel_Frequently"/>
    <n v="636"/>
    <x v="1"/>
    <n v="10"/>
    <n v="4"/>
    <x v="0"/>
    <n v="1"/>
    <n v="396"/>
    <m/>
    <n v="3"/>
    <x v="4"/>
    <x v="7"/>
    <x v="3"/>
    <n v="18665"/>
    <x v="0"/>
    <s v="Jan"/>
  </r>
  <r>
    <n v="36"/>
    <x v="0"/>
    <x v="1"/>
    <m/>
    <m/>
    <s v="Travel_Rarely"/>
    <n v="506"/>
    <x v="1"/>
    <n v="3"/>
    <n v="3"/>
    <x v="4"/>
    <n v="1"/>
    <n v="397"/>
    <m/>
    <n v="3"/>
    <x v="0"/>
    <x v="1"/>
    <x v="1"/>
    <n v="4485"/>
    <x v="1"/>
    <s v="Jan"/>
  </r>
  <r>
    <n v="31"/>
    <x v="2"/>
    <x v="1"/>
    <m/>
    <m/>
    <s v="Travel_Frequently"/>
    <n v="444"/>
    <x v="0"/>
    <n v="5"/>
    <n v="3"/>
    <x v="3"/>
    <n v="1"/>
    <n v="399"/>
    <m/>
    <n v="4"/>
    <x v="1"/>
    <x v="6"/>
    <x v="1"/>
    <n v="2789"/>
    <x v="1"/>
    <s v="Jan"/>
  </r>
  <r>
    <n v="26"/>
    <x v="2"/>
    <x v="0"/>
    <m/>
    <m/>
    <s v="Travel_Rarely"/>
    <n v="950"/>
    <x v="0"/>
    <n v="4"/>
    <n v="4"/>
    <x v="3"/>
    <n v="1"/>
    <n v="401"/>
    <m/>
    <n v="4"/>
    <x v="0"/>
    <x v="0"/>
    <x v="0"/>
    <n v="5828"/>
    <x v="0"/>
    <s v="Jan"/>
  </r>
  <r>
    <n v="37"/>
    <x v="0"/>
    <x v="1"/>
    <m/>
    <m/>
    <s v="Travel_Frequently"/>
    <n v="889"/>
    <x v="1"/>
    <n v="9"/>
    <n v="3"/>
    <x v="2"/>
    <n v="1"/>
    <n v="403"/>
    <m/>
    <n v="2"/>
    <x v="1"/>
    <x v="1"/>
    <x v="0"/>
    <n v="2326"/>
    <x v="0"/>
    <s v="Jan"/>
  </r>
  <r>
    <n v="42"/>
    <x v="0"/>
    <x v="1"/>
    <m/>
    <m/>
    <s v="Travel_Frequently"/>
    <n v="555"/>
    <x v="0"/>
    <n v="26"/>
    <n v="3"/>
    <x v="3"/>
    <n v="1"/>
    <n v="404"/>
    <m/>
    <n v="3"/>
    <x v="3"/>
    <x v="0"/>
    <x v="1"/>
    <n v="13525"/>
    <x v="1"/>
    <s v="Jan"/>
  </r>
  <r>
    <n v="18"/>
    <x v="4"/>
    <x v="0"/>
    <m/>
    <m/>
    <s v="Travel_Rarely"/>
    <n v="230"/>
    <x v="1"/>
    <n v="3"/>
    <n v="3"/>
    <x v="0"/>
    <n v="1"/>
    <n v="405"/>
    <m/>
    <n v="3"/>
    <x v="1"/>
    <x v="2"/>
    <x v="2"/>
    <n v="1420"/>
    <x v="1"/>
    <s v="Jan"/>
  </r>
  <r>
    <n v="35"/>
    <x v="0"/>
    <x v="1"/>
    <m/>
    <m/>
    <s v="Travel_Rarely"/>
    <n v="1232"/>
    <x v="0"/>
    <n v="16"/>
    <n v="3"/>
    <x v="3"/>
    <n v="1"/>
    <n v="406"/>
    <m/>
    <n v="3"/>
    <x v="2"/>
    <x v="0"/>
    <x v="1"/>
    <n v="8020"/>
    <x v="1"/>
    <s v="Jan"/>
  </r>
  <r>
    <n v="36"/>
    <x v="0"/>
    <x v="1"/>
    <m/>
    <m/>
    <s v="Travel_Frequently"/>
    <n v="566"/>
    <x v="1"/>
    <n v="18"/>
    <n v="4"/>
    <x v="0"/>
    <n v="1"/>
    <n v="407"/>
    <m/>
    <n v="3"/>
    <x v="1"/>
    <x v="2"/>
    <x v="0"/>
    <n v="3688"/>
    <x v="1"/>
    <s v="Jan"/>
  </r>
  <r>
    <n v="51"/>
    <x v="1"/>
    <x v="1"/>
    <m/>
    <m/>
    <s v="Travel_Rarely"/>
    <n v="1302"/>
    <x v="1"/>
    <n v="2"/>
    <n v="3"/>
    <x v="2"/>
    <n v="1"/>
    <n v="408"/>
    <m/>
    <n v="4"/>
    <x v="0"/>
    <x v="3"/>
    <x v="1"/>
    <n v="5482"/>
    <x v="1"/>
    <s v="Jan"/>
  </r>
  <r>
    <n v="41"/>
    <x v="0"/>
    <x v="1"/>
    <m/>
    <m/>
    <s v="Travel_Rarely"/>
    <n v="334"/>
    <x v="0"/>
    <n v="2"/>
    <n v="4"/>
    <x v="0"/>
    <n v="1"/>
    <n v="410"/>
    <m/>
    <n v="4"/>
    <x v="3"/>
    <x v="5"/>
    <x v="1"/>
    <n v="16015"/>
    <x v="1"/>
    <s v="Jan"/>
  </r>
  <r>
    <n v="18"/>
    <x v="4"/>
    <x v="1"/>
    <m/>
    <m/>
    <s v="Travel_Rarely"/>
    <n v="812"/>
    <x v="0"/>
    <n v="10"/>
    <n v="3"/>
    <x v="2"/>
    <n v="1"/>
    <n v="411"/>
    <m/>
    <n v="4"/>
    <x v="1"/>
    <x v="6"/>
    <x v="2"/>
    <n v="1200"/>
    <x v="1"/>
    <s v="Jan"/>
  </r>
  <r>
    <n v="28"/>
    <x v="2"/>
    <x v="1"/>
    <m/>
    <m/>
    <s v="Travel_Rarely"/>
    <n v="1476"/>
    <x v="1"/>
    <n v="16"/>
    <n v="2"/>
    <x v="2"/>
    <n v="1"/>
    <n v="412"/>
    <m/>
    <n v="2"/>
    <x v="0"/>
    <x v="4"/>
    <x v="3"/>
    <n v="5661"/>
    <x v="1"/>
    <s v="Jan"/>
  </r>
  <r>
    <n v="31"/>
    <x v="2"/>
    <x v="1"/>
    <m/>
    <m/>
    <s v="Travel_Rarely"/>
    <n v="218"/>
    <x v="0"/>
    <n v="7"/>
    <n v="3"/>
    <x v="4"/>
    <n v="1"/>
    <n v="416"/>
    <m/>
    <n v="2"/>
    <x v="0"/>
    <x v="0"/>
    <x v="0"/>
    <n v="6929"/>
    <x v="1"/>
    <s v="Jan"/>
  </r>
  <r>
    <n v="39"/>
    <x v="0"/>
    <x v="1"/>
    <m/>
    <m/>
    <s v="Travel_Rarely"/>
    <n v="1132"/>
    <x v="1"/>
    <n v="1"/>
    <n v="3"/>
    <x v="2"/>
    <n v="1"/>
    <n v="417"/>
    <m/>
    <n v="3"/>
    <x v="2"/>
    <x v="4"/>
    <x v="0"/>
    <n v="9613"/>
    <x v="1"/>
    <s v="Jan"/>
  </r>
  <r>
    <n v="36"/>
    <x v="0"/>
    <x v="1"/>
    <m/>
    <m/>
    <s v="Non-Travel"/>
    <n v="1105"/>
    <x v="1"/>
    <n v="24"/>
    <n v="4"/>
    <x v="0"/>
    <n v="1"/>
    <n v="419"/>
    <m/>
    <n v="2"/>
    <x v="0"/>
    <x v="2"/>
    <x v="1"/>
    <n v="5674"/>
    <x v="1"/>
    <s v="Jan"/>
  </r>
  <r>
    <n v="32"/>
    <x v="2"/>
    <x v="1"/>
    <m/>
    <m/>
    <s v="Travel_Rarely"/>
    <n v="906"/>
    <x v="0"/>
    <n v="7"/>
    <n v="3"/>
    <x v="0"/>
    <n v="1"/>
    <n v="420"/>
    <m/>
    <n v="4"/>
    <x v="0"/>
    <x v="0"/>
    <x v="2"/>
    <n v="5484"/>
    <x v="1"/>
    <s v="Jan"/>
  </r>
  <r>
    <n v="38"/>
    <x v="0"/>
    <x v="1"/>
    <m/>
    <m/>
    <s v="Travel_Rarely"/>
    <n v="849"/>
    <x v="1"/>
    <n v="25"/>
    <n v="2"/>
    <x v="0"/>
    <n v="1"/>
    <n v="421"/>
    <m/>
    <n v="1"/>
    <x v="2"/>
    <x v="7"/>
    <x v="1"/>
    <n v="12061"/>
    <x v="1"/>
    <s v="Jan"/>
  </r>
  <r>
    <n v="58"/>
    <x v="3"/>
    <x v="1"/>
    <m/>
    <m/>
    <s v="Non-Travel"/>
    <n v="390"/>
    <x v="1"/>
    <n v="1"/>
    <n v="4"/>
    <x v="0"/>
    <n v="1"/>
    <n v="422"/>
    <m/>
    <n v="4"/>
    <x v="0"/>
    <x v="4"/>
    <x v="2"/>
    <n v="5660"/>
    <x v="0"/>
    <s v="Jan"/>
  </r>
  <r>
    <n v="31"/>
    <x v="2"/>
    <x v="1"/>
    <m/>
    <m/>
    <s v="Travel_Rarely"/>
    <n v="691"/>
    <x v="1"/>
    <n v="5"/>
    <n v="4"/>
    <x v="4"/>
    <n v="1"/>
    <n v="423"/>
    <m/>
    <n v="3"/>
    <x v="1"/>
    <x v="1"/>
    <x v="0"/>
    <n v="4821"/>
    <x v="0"/>
    <s v="Jan"/>
  </r>
  <r>
    <n v="31"/>
    <x v="2"/>
    <x v="1"/>
    <m/>
    <m/>
    <s v="Travel_Rarely"/>
    <n v="106"/>
    <x v="2"/>
    <n v="2"/>
    <n v="3"/>
    <x v="5"/>
    <n v="1"/>
    <n v="424"/>
    <m/>
    <n v="1"/>
    <x v="0"/>
    <x v="8"/>
    <x v="3"/>
    <n v="6410"/>
    <x v="1"/>
    <s v="Jan"/>
  </r>
  <r>
    <n v="45"/>
    <x v="1"/>
    <x v="1"/>
    <m/>
    <m/>
    <s v="Travel_Frequently"/>
    <n v="1249"/>
    <x v="1"/>
    <n v="7"/>
    <n v="3"/>
    <x v="0"/>
    <n v="1"/>
    <n v="425"/>
    <m/>
    <n v="1"/>
    <x v="2"/>
    <x v="2"/>
    <x v="3"/>
    <n v="5210"/>
    <x v="1"/>
    <s v="Jan"/>
  </r>
  <r>
    <n v="31"/>
    <x v="2"/>
    <x v="1"/>
    <m/>
    <m/>
    <s v="Travel_Rarely"/>
    <n v="192"/>
    <x v="1"/>
    <n v="2"/>
    <n v="4"/>
    <x v="0"/>
    <n v="1"/>
    <n v="426"/>
    <m/>
    <n v="3"/>
    <x v="1"/>
    <x v="1"/>
    <x v="0"/>
    <n v="2695"/>
    <x v="0"/>
    <s v="Jan"/>
  </r>
  <r>
    <n v="33"/>
    <x v="2"/>
    <x v="1"/>
    <m/>
    <m/>
    <s v="Travel_Frequently"/>
    <n v="553"/>
    <x v="1"/>
    <n v="5"/>
    <n v="4"/>
    <x v="0"/>
    <n v="1"/>
    <n v="428"/>
    <m/>
    <n v="4"/>
    <x v="2"/>
    <x v="5"/>
    <x v="1"/>
    <n v="11878"/>
    <x v="1"/>
    <s v="Jan"/>
  </r>
  <r>
    <n v="39"/>
    <x v="0"/>
    <x v="1"/>
    <m/>
    <m/>
    <s v="Travel_Rarely"/>
    <n v="117"/>
    <x v="1"/>
    <n v="10"/>
    <n v="1"/>
    <x v="2"/>
    <n v="1"/>
    <n v="429"/>
    <m/>
    <n v="3"/>
    <x v="3"/>
    <x v="5"/>
    <x v="3"/>
    <n v="17068"/>
    <x v="0"/>
    <s v="Jan"/>
  </r>
  <r>
    <n v="43"/>
    <x v="0"/>
    <x v="1"/>
    <m/>
    <m/>
    <s v="Travel_Frequently"/>
    <n v="185"/>
    <x v="1"/>
    <n v="10"/>
    <n v="4"/>
    <x v="0"/>
    <n v="1"/>
    <n v="430"/>
    <m/>
    <n v="3"/>
    <x v="1"/>
    <x v="2"/>
    <x v="0"/>
    <n v="2455"/>
    <x v="1"/>
    <s v="Jan"/>
  </r>
  <r>
    <n v="49"/>
    <x v="1"/>
    <x v="1"/>
    <m/>
    <m/>
    <s v="Travel_Rarely"/>
    <n v="1091"/>
    <x v="1"/>
    <n v="1"/>
    <n v="2"/>
    <x v="4"/>
    <n v="1"/>
    <n v="431"/>
    <m/>
    <n v="3"/>
    <x v="3"/>
    <x v="4"/>
    <x v="2"/>
    <n v="13964"/>
    <x v="0"/>
    <s v="Jan"/>
  </r>
  <r>
    <n v="52"/>
    <x v="1"/>
    <x v="0"/>
    <m/>
    <m/>
    <s v="Travel_Rarely"/>
    <n v="723"/>
    <x v="1"/>
    <n v="8"/>
    <n v="4"/>
    <x v="2"/>
    <n v="1"/>
    <n v="433"/>
    <m/>
    <n v="3"/>
    <x v="0"/>
    <x v="1"/>
    <x v="1"/>
    <n v="4941"/>
    <x v="1"/>
    <s v="Jan"/>
  </r>
  <r>
    <n v="27"/>
    <x v="2"/>
    <x v="1"/>
    <m/>
    <m/>
    <s v="Travel_Rarely"/>
    <n v="1220"/>
    <x v="1"/>
    <n v="5"/>
    <n v="3"/>
    <x v="0"/>
    <n v="1"/>
    <n v="434"/>
    <m/>
    <n v="3"/>
    <x v="1"/>
    <x v="1"/>
    <x v="1"/>
    <n v="2478"/>
    <x v="0"/>
    <s v="Jan"/>
  </r>
  <r>
    <n v="32"/>
    <x v="2"/>
    <x v="1"/>
    <m/>
    <m/>
    <s v="Travel_Rarely"/>
    <n v="588"/>
    <x v="0"/>
    <n v="8"/>
    <n v="2"/>
    <x v="4"/>
    <n v="1"/>
    <n v="436"/>
    <m/>
    <n v="3"/>
    <x v="0"/>
    <x v="0"/>
    <x v="1"/>
    <n v="5228"/>
    <x v="0"/>
    <s v="Jan"/>
  </r>
  <r>
    <n v="27"/>
    <x v="2"/>
    <x v="1"/>
    <m/>
    <m/>
    <s v="Travel_Rarely"/>
    <n v="1377"/>
    <x v="0"/>
    <n v="2"/>
    <n v="3"/>
    <x v="0"/>
    <n v="1"/>
    <n v="437"/>
    <m/>
    <n v="4"/>
    <x v="0"/>
    <x v="0"/>
    <x v="2"/>
    <n v="4478"/>
    <x v="0"/>
    <s v="Jan"/>
  </r>
  <r>
    <n v="31"/>
    <x v="2"/>
    <x v="1"/>
    <m/>
    <m/>
    <s v="Travel_Rarely"/>
    <n v="691"/>
    <x v="0"/>
    <n v="7"/>
    <n v="3"/>
    <x v="3"/>
    <n v="1"/>
    <n v="438"/>
    <m/>
    <n v="4"/>
    <x v="0"/>
    <x v="0"/>
    <x v="0"/>
    <n v="7547"/>
    <x v="1"/>
    <s v="Jan"/>
  </r>
  <r>
    <n v="32"/>
    <x v="2"/>
    <x v="1"/>
    <m/>
    <m/>
    <s v="Travel_Rarely"/>
    <n v="1018"/>
    <x v="1"/>
    <n v="2"/>
    <n v="4"/>
    <x v="2"/>
    <n v="1"/>
    <n v="439"/>
    <m/>
    <n v="1"/>
    <x v="0"/>
    <x v="1"/>
    <x v="0"/>
    <n v="5055"/>
    <x v="1"/>
    <s v="Jan"/>
  </r>
  <r>
    <n v="28"/>
    <x v="2"/>
    <x v="0"/>
    <m/>
    <m/>
    <s v="Travel_Rarely"/>
    <n v="1157"/>
    <x v="1"/>
    <n v="2"/>
    <n v="4"/>
    <x v="2"/>
    <n v="1"/>
    <n v="440"/>
    <m/>
    <n v="1"/>
    <x v="1"/>
    <x v="1"/>
    <x v="0"/>
    <n v="3464"/>
    <x v="0"/>
    <s v="Jan"/>
  </r>
  <r>
    <n v="30"/>
    <x v="2"/>
    <x v="1"/>
    <m/>
    <m/>
    <s v="Travel_Rarely"/>
    <n v="1275"/>
    <x v="1"/>
    <n v="28"/>
    <n v="2"/>
    <x v="2"/>
    <n v="1"/>
    <n v="441"/>
    <m/>
    <n v="4"/>
    <x v="0"/>
    <x v="1"/>
    <x v="0"/>
    <n v="5775"/>
    <x v="1"/>
    <s v="Jan"/>
  </r>
  <r>
    <n v="31"/>
    <x v="2"/>
    <x v="1"/>
    <m/>
    <m/>
    <s v="Travel_Frequently"/>
    <n v="798"/>
    <x v="1"/>
    <n v="7"/>
    <n v="2"/>
    <x v="0"/>
    <n v="1"/>
    <n v="442"/>
    <m/>
    <n v="3"/>
    <x v="2"/>
    <x v="3"/>
    <x v="2"/>
    <n v="8943"/>
    <x v="1"/>
    <s v="Jan"/>
  </r>
  <r>
    <n v="39"/>
    <x v="0"/>
    <x v="1"/>
    <m/>
    <m/>
    <s v="Travel_Frequently"/>
    <n v="672"/>
    <x v="1"/>
    <n v="7"/>
    <n v="2"/>
    <x v="2"/>
    <n v="1"/>
    <n v="444"/>
    <m/>
    <n v="3"/>
    <x v="4"/>
    <x v="5"/>
    <x v="0"/>
    <n v="19272"/>
    <x v="1"/>
    <s v="Jan"/>
  </r>
  <r>
    <n v="39"/>
    <x v="0"/>
    <x v="0"/>
    <m/>
    <m/>
    <s v="Travel_Rarely"/>
    <n v="1162"/>
    <x v="0"/>
    <n v="3"/>
    <n v="2"/>
    <x v="2"/>
    <n v="1"/>
    <n v="445"/>
    <m/>
    <n v="4"/>
    <x v="0"/>
    <x v="0"/>
    <x v="2"/>
    <n v="5238"/>
    <x v="0"/>
    <s v="Jan"/>
  </r>
  <r>
    <n v="33"/>
    <x v="2"/>
    <x v="1"/>
    <m/>
    <m/>
    <s v="Travel_Frequently"/>
    <n v="508"/>
    <x v="0"/>
    <n v="10"/>
    <n v="3"/>
    <x v="3"/>
    <n v="1"/>
    <n v="446"/>
    <m/>
    <n v="2"/>
    <x v="0"/>
    <x v="0"/>
    <x v="0"/>
    <n v="4682"/>
    <x v="1"/>
    <s v="Jan"/>
  </r>
  <r>
    <n v="47"/>
    <x v="1"/>
    <x v="1"/>
    <m/>
    <m/>
    <s v="Travel_Rarely"/>
    <n v="1482"/>
    <x v="1"/>
    <n v="5"/>
    <n v="5"/>
    <x v="0"/>
    <n v="1"/>
    <n v="447"/>
    <m/>
    <n v="4"/>
    <x v="4"/>
    <x v="7"/>
    <x v="2"/>
    <n v="18300"/>
    <x v="1"/>
    <s v="Jan"/>
  </r>
  <r>
    <n v="43"/>
    <x v="0"/>
    <x v="1"/>
    <m/>
    <m/>
    <s v="Travel_Frequently"/>
    <n v="559"/>
    <x v="1"/>
    <n v="10"/>
    <n v="4"/>
    <x v="0"/>
    <n v="1"/>
    <n v="448"/>
    <m/>
    <n v="3"/>
    <x v="0"/>
    <x v="2"/>
    <x v="2"/>
    <n v="5257"/>
    <x v="1"/>
    <s v="Jan"/>
  </r>
  <r>
    <n v="27"/>
    <x v="2"/>
    <x v="1"/>
    <m/>
    <m/>
    <s v="Non-Travel"/>
    <n v="210"/>
    <x v="0"/>
    <n v="1"/>
    <n v="1"/>
    <x v="3"/>
    <n v="1"/>
    <n v="449"/>
    <m/>
    <n v="3"/>
    <x v="0"/>
    <x v="0"/>
    <x v="1"/>
    <n v="6349"/>
    <x v="0"/>
    <s v="Jan"/>
  </r>
  <r>
    <n v="54"/>
    <x v="1"/>
    <x v="1"/>
    <m/>
    <m/>
    <s v="Travel_Frequently"/>
    <n v="928"/>
    <x v="1"/>
    <n v="20"/>
    <n v="4"/>
    <x v="0"/>
    <n v="1"/>
    <n v="450"/>
    <m/>
    <n v="4"/>
    <x v="0"/>
    <x v="1"/>
    <x v="2"/>
    <n v="4869"/>
    <x v="1"/>
    <s v="Jan"/>
  </r>
  <r>
    <n v="43"/>
    <x v="0"/>
    <x v="1"/>
    <m/>
    <m/>
    <s v="Travel_Rarely"/>
    <n v="1001"/>
    <x v="1"/>
    <n v="7"/>
    <n v="3"/>
    <x v="0"/>
    <n v="1"/>
    <n v="451"/>
    <m/>
    <n v="3"/>
    <x v="2"/>
    <x v="4"/>
    <x v="3"/>
    <n v="9985"/>
    <x v="1"/>
    <s v="Jan"/>
  </r>
  <r>
    <n v="45"/>
    <x v="1"/>
    <x v="1"/>
    <m/>
    <m/>
    <s v="Travel_Rarely"/>
    <n v="549"/>
    <x v="1"/>
    <n v="8"/>
    <n v="4"/>
    <x v="1"/>
    <n v="1"/>
    <n v="452"/>
    <m/>
    <n v="4"/>
    <x v="0"/>
    <x v="1"/>
    <x v="0"/>
    <n v="3697"/>
    <x v="1"/>
    <s v="Jan"/>
  </r>
  <r>
    <n v="40"/>
    <x v="0"/>
    <x v="1"/>
    <m/>
    <m/>
    <s v="Travel_Rarely"/>
    <n v="1124"/>
    <x v="0"/>
    <n v="1"/>
    <n v="2"/>
    <x v="2"/>
    <n v="1"/>
    <n v="453"/>
    <m/>
    <n v="2"/>
    <x v="0"/>
    <x v="0"/>
    <x v="0"/>
    <n v="7457"/>
    <x v="0"/>
    <s v="Jan"/>
  </r>
  <r>
    <n v="29"/>
    <x v="2"/>
    <x v="0"/>
    <m/>
    <m/>
    <s v="Travel_Rarely"/>
    <n v="318"/>
    <x v="1"/>
    <n v="8"/>
    <n v="4"/>
    <x v="1"/>
    <n v="1"/>
    <n v="454"/>
    <m/>
    <n v="2"/>
    <x v="1"/>
    <x v="2"/>
    <x v="3"/>
    <n v="2119"/>
    <x v="0"/>
    <s v="Jan"/>
  </r>
  <r>
    <n v="29"/>
    <x v="2"/>
    <x v="1"/>
    <m/>
    <m/>
    <s v="Travel_Rarely"/>
    <n v="738"/>
    <x v="1"/>
    <n v="9"/>
    <n v="5"/>
    <x v="1"/>
    <n v="1"/>
    <n v="455"/>
    <m/>
    <n v="2"/>
    <x v="1"/>
    <x v="2"/>
    <x v="0"/>
    <n v="3983"/>
    <x v="1"/>
    <s v="Jan"/>
  </r>
  <r>
    <n v="30"/>
    <x v="2"/>
    <x v="1"/>
    <m/>
    <m/>
    <s v="Travel_Rarely"/>
    <n v="570"/>
    <x v="0"/>
    <n v="5"/>
    <n v="3"/>
    <x v="3"/>
    <n v="1"/>
    <n v="456"/>
    <m/>
    <n v="4"/>
    <x v="0"/>
    <x v="0"/>
    <x v="2"/>
    <n v="6118"/>
    <x v="1"/>
    <s v="Jan"/>
  </r>
  <r>
    <n v="27"/>
    <x v="2"/>
    <x v="1"/>
    <m/>
    <m/>
    <s v="Travel_Rarely"/>
    <n v="1130"/>
    <x v="0"/>
    <n v="8"/>
    <n v="4"/>
    <x v="3"/>
    <n v="1"/>
    <n v="458"/>
    <m/>
    <n v="2"/>
    <x v="0"/>
    <x v="0"/>
    <x v="1"/>
    <n v="6214"/>
    <x v="1"/>
    <s v="Jan"/>
  </r>
  <r>
    <n v="37"/>
    <x v="0"/>
    <x v="1"/>
    <m/>
    <m/>
    <s v="Travel_Rarely"/>
    <n v="1192"/>
    <x v="1"/>
    <n v="5"/>
    <n v="2"/>
    <x v="2"/>
    <n v="1"/>
    <n v="460"/>
    <m/>
    <n v="4"/>
    <x v="0"/>
    <x v="3"/>
    <x v="0"/>
    <n v="6347"/>
    <x v="1"/>
    <s v="Jan"/>
  </r>
  <r>
    <n v="38"/>
    <x v="0"/>
    <x v="1"/>
    <m/>
    <m/>
    <s v="Travel_Rarely"/>
    <n v="343"/>
    <x v="1"/>
    <n v="15"/>
    <n v="2"/>
    <x v="0"/>
    <n v="1"/>
    <n v="461"/>
    <m/>
    <n v="3"/>
    <x v="2"/>
    <x v="7"/>
    <x v="0"/>
    <n v="11510"/>
    <x v="0"/>
    <s v="Jan"/>
  </r>
  <r>
    <n v="31"/>
    <x v="2"/>
    <x v="1"/>
    <m/>
    <m/>
    <s v="Travel_Rarely"/>
    <n v="1232"/>
    <x v="1"/>
    <n v="7"/>
    <n v="4"/>
    <x v="2"/>
    <n v="1"/>
    <n v="462"/>
    <m/>
    <n v="3"/>
    <x v="2"/>
    <x v="3"/>
    <x v="0"/>
    <n v="7143"/>
    <x v="0"/>
    <s v="Jan"/>
  </r>
  <r>
    <n v="29"/>
    <x v="2"/>
    <x v="1"/>
    <m/>
    <m/>
    <s v="Travel_Rarely"/>
    <n v="144"/>
    <x v="0"/>
    <n v="10"/>
    <n v="1"/>
    <x v="3"/>
    <n v="1"/>
    <n v="463"/>
    <m/>
    <n v="4"/>
    <x v="0"/>
    <x v="0"/>
    <x v="1"/>
    <n v="8268"/>
    <x v="0"/>
    <s v="Jan"/>
  </r>
  <r>
    <n v="35"/>
    <x v="0"/>
    <x v="1"/>
    <m/>
    <m/>
    <s v="Travel_Rarely"/>
    <n v="1296"/>
    <x v="1"/>
    <n v="5"/>
    <n v="4"/>
    <x v="4"/>
    <n v="1"/>
    <n v="464"/>
    <m/>
    <n v="3"/>
    <x v="2"/>
    <x v="3"/>
    <x v="1"/>
    <n v="8095"/>
    <x v="1"/>
    <s v="Jan"/>
  </r>
  <r>
    <n v="23"/>
    <x v="4"/>
    <x v="1"/>
    <m/>
    <m/>
    <s v="Travel_Rarely"/>
    <n v="1309"/>
    <x v="1"/>
    <n v="26"/>
    <n v="1"/>
    <x v="0"/>
    <n v="1"/>
    <n v="465"/>
    <m/>
    <n v="3"/>
    <x v="1"/>
    <x v="1"/>
    <x v="0"/>
    <n v="2904"/>
    <x v="1"/>
    <s v="Jan"/>
  </r>
  <r>
    <n v="41"/>
    <x v="0"/>
    <x v="1"/>
    <m/>
    <m/>
    <s v="Travel_Rarely"/>
    <n v="483"/>
    <x v="1"/>
    <n v="6"/>
    <n v="3"/>
    <x v="2"/>
    <n v="1"/>
    <n v="466"/>
    <m/>
    <n v="4"/>
    <x v="0"/>
    <x v="3"/>
    <x v="1"/>
    <n v="6032"/>
    <x v="0"/>
    <s v="Jan"/>
  </r>
  <r>
    <n v="47"/>
    <x v="1"/>
    <x v="1"/>
    <m/>
    <m/>
    <s v="Travel_Frequently"/>
    <n v="1309"/>
    <x v="0"/>
    <n v="4"/>
    <n v="1"/>
    <x v="2"/>
    <n v="1"/>
    <n v="467"/>
    <m/>
    <n v="2"/>
    <x v="0"/>
    <x v="6"/>
    <x v="2"/>
    <n v="2976"/>
    <x v="1"/>
    <s v="Jan"/>
  </r>
  <r>
    <n v="42"/>
    <x v="0"/>
    <x v="1"/>
    <m/>
    <m/>
    <s v="Travel_Rarely"/>
    <n v="810"/>
    <x v="1"/>
    <n v="23"/>
    <n v="5"/>
    <x v="0"/>
    <n v="1"/>
    <n v="468"/>
    <m/>
    <n v="1"/>
    <x v="3"/>
    <x v="7"/>
    <x v="0"/>
    <n v="15992"/>
    <x v="1"/>
    <s v="Jan"/>
  </r>
  <r>
    <n v="29"/>
    <x v="2"/>
    <x v="1"/>
    <m/>
    <m/>
    <s v="Non-Travel"/>
    <n v="746"/>
    <x v="0"/>
    <n v="2"/>
    <n v="3"/>
    <x v="0"/>
    <n v="1"/>
    <n v="469"/>
    <m/>
    <n v="4"/>
    <x v="0"/>
    <x v="0"/>
    <x v="2"/>
    <n v="4649"/>
    <x v="1"/>
    <s v="Jan"/>
  </r>
  <r>
    <n v="42"/>
    <x v="0"/>
    <x v="1"/>
    <m/>
    <m/>
    <s v="Travel_Rarely"/>
    <n v="544"/>
    <x v="2"/>
    <n v="2"/>
    <n v="1"/>
    <x v="4"/>
    <n v="1"/>
    <n v="470"/>
    <m/>
    <n v="3"/>
    <x v="1"/>
    <x v="8"/>
    <x v="2"/>
    <n v="2696"/>
    <x v="0"/>
    <s v="Jan"/>
  </r>
  <r>
    <n v="32"/>
    <x v="2"/>
    <x v="1"/>
    <m/>
    <m/>
    <s v="Travel_Rarely"/>
    <n v="1062"/>
    <x v="1"/>
    <n v="2"/>
    <n v="3"/>
    <x v="2"/>
    <n v="1"/>
    <n v="471"/>
    <m/>
    <n v="3"/>
    <x v="1"/>
    <x v="2"/>
    <x v="1"/>
    <n v="2370"/>
    <x v="1"/>
    <s v="Jan"/>
  </r>
  <r>
    <n v="48"/>
    <x v="1"/>
    <x v="1"/>
    <m/>
    <m/>
    <s v="Travel_Rarely"/>
    <n v="530"/>
    <x v="0"/>
    <n v="29"/>
    <n v="1"/>
    <x v="2"/>
    <n v="1"/>
    <n v="473"/>
    <m/>
    <n v="1"/>
    <x v="2"/>
    <x v="5"/>
    <x v="2"/>
    <n v="12504"/>
    <x v="1"/>
    <s v="Jan"/>
  </r>
  <r>
    <n v="37"/>
    <x v="0"/>
    <x v="1"/>
    <m/>
    <m/>
    <s v="Travel_Rarely"/>
    <n v="1319"/>
    <x v="1"/>
    <n v="6"/>
    <n v="3"/>
    <x v="2"/>
    <n v="1"/>
    <n v="474"/>
    <m/>
    <n v="3"/>
    <x v="0"/>
    <x v="1"/>
    <x v="3"/>
    <n v="5974"/>
    <x v="0"/>
    <s v="Jan"/>
  </r>
  <r>
    <n v="30"/>
    <x v="2"/>
    <x v="1"/>
    <m/>
    <m/>
    <s v="Non-Travel"/>
    <n v="641"/>
    <x v="0"/>
    <n v="25"/>
    <n v="2"/>
    <x v="4"/>
    <n v="1"/>
    <n v="475"/>
    <m/>
    <n v="4"/>
    <x v="0"/>
    <x v="0"/>
    <x v="2"/>
    <n v="4736"/>
    <x v="0"/>
    <s v="Jan"/>
  </r>
  <r>
    <n v="26"/>
    <x v="2"/>
    <x v="1"/>
    <m/>
    <m/>
    <s v="Travel_Rarely"/>
    <n v="933"/>
    <x v="0"/>
    <n v="1"/>
    <n v="3"/>
    <x v="0"/>
    <n v="1"/>
    <n v="476"/>
    <m/>
    <n v="3"/>
    <x v="0"/>
    <x v="0"/>
    <x v="2"/>
    <n v="5296"/>
    <x v="1"/>
    <s v="Jan"/>
  </r>
  <r>
    <n v="42"/>
    <x v="0"/>
    <x v="1"/>
    <m/>
    <m/>
    <s v="Travel_Rarely"/>
    <n v="1332"/>
    <x v="1"/>
    <n v="2"/>
    <n v="4"/>
    <x v="1"/>
    <n v="1"/>
    <n v="477"/>
    <m/>
    <n v="1"/>
    <x v="0"/>
    <x v="4"/>
    <x v="0"/>
    <n v="6781"/>
    <x v="1"/>
    <s v="Jan"/>
  </r>
  <r>
    <n v="21"/>
    <x v="4"/>
    <x v="0"/>
    <m/>
    <m/>
    <s v="Travel_Frequently"/>
    <n v="756"/>
    <x v="0"/>
    <n v="1"/>
    <n v="1"/>
    <x v="4"/>
    <n v="1"/>
    <n v="478"/>
    <m/>
    <n v="1"/>
    <x v="1"/>
    <x v="6"/>
    <x v="1"/>
    <n v="2174"/>
    <x v="0"/>
    <s v="Jan"/>
  </r>
  <r>
    <n v="36"/>
    <x v="0"/>
    <x v="1"/>
    <m/>
    <m/>
    <s v="Non-Travel"/>
    <n v="845"/>
    <x v="0"/>
    <n v="1"/>
    <n v="5"/>
    <x v="2"/>
    <n v="1"/>
    <n v="479"/>
    <m/>
    <n v="4"/>
    <x v="0"/>
    <x v="0"/>
    <x v="0"/>
    <n v="6653"/>
    <x v="1"/>
    <s v="Jan"/>
  </r>
  <r>
    <n v="36"/>
    <x v="0"/>
    <x v="1"/>
    <m/>
    <m/>
    <s v="Travel_Frequently"/>
    <n v="541"/>
    <x v="0"/>
    <n v="3"/>
    <n v="4"/>
    <x v="2"/>
    <n v="1"/>
    <n v="481"/>
    <m/>
    <n v="1"/>
    <x v="2"/>
    <x v="0"/>
    <x v="0"/>
    <n v="9699"/>
    <x v="1"/>
    <s v="Jan"/>
  </r>
  <r>
    <n v="57"/>
    <x v="3"/>
    <x v="1"/>
    <m/>
    <m/>
    <s v="Travel_Rarely"/>
    <n v="593"/>
    <x v="1"/>
    <n v="1"/>
    <n v="4"/>
    <x v="2"/>
    <n v="1"/>
    <n v="482"/>
    <m/>
    <n v="4"/>
    <x v="0"/>
    <x v="4"/>
    <x v="2"/>
    <n v="6755"/>
    <x v="1"/>
    <s v="Jan"/>
  </r>
  <r>
    <n v="40"/>
    <x v="0"/>
    <x v="1"/>
    <m/>
    <m/>
    <s v="Travel_Rarely"/>
    <n v="1171"/>
    <x v="1"/>
    <n v="10"/>
    <n v="4"/>
    <x v="0"/>
    <n v="1"/>
    <n v="483"/>
    <m/>
    <n v="4"/>
    <x v="1"/>
    <x v="2"/>
    <x v="2"/>
    <n v="2213"/>
    <x v="0"/>
    <s v="Jan"/>
  </r>
  <r>
    <n v="21"/>
    <x v="4"/>
    <x v="1"/>
    <m/>
    <m/>
    <s v="Non-Travel"/>
    <n v="895"/>
    <x v="0"/>
    <n v="9"/>
    <n v="2"/>
    <x v="2"/>
    <n v="1"/>
    <n v="484"/>
    <m/>
    <n v="1"/>
    <x v="1"/>
    <x v="6"/>
    <x v="0"/>
    <n v="2610"/>
    <x v="1"/>
    <s v="Jan"/>
  </r>
  <r>
    <n v="33"/>
    <x v="2"/>
    <x v="0"/>
    <m/>
    <m/>
    <s v="Travel_Rarely"/>
    <n v="350"/>
    <x v="0"/>
    <n v="5"/>
    <n v="3"/>
    <x v="3"/>
    <n v="1"/>
    <n v="485"/>
    <m/>
    <n v="4"/>
    <x v="1"/>
    <x v="6"/>
    <x v="2"/>
    <n v="2851"/>
    <x v="0"/>
    <s v="Jan"/>
  </r>
  <r>
    <n v="37"/>
    <x v="0"/>
    <x v="1"/>
    <m/>
    <m/>
    <s v="Travel_Rarely"/>
    <n v="921"/>
    <x v="1"/>
    <n v="10"/>
    <n v="3"/>
    <x v="2"/>
    <n v="1"/>
    <n v="486"/>
    <m/>
    <n v="3"/>
    <x v="1"/>
    <x v="2"/>
    <x v="3"/>
    <n v="3452"/>
    <x v="1"/>
    <s v="Jan"/>
  </r>
  <r>
    <n v="46"/>
    <x v="1"/>
    <x v="1"/>
    <m/>
    <m/>
    <s v="Non-Travel"/>
    <n v="1144"/>
    <x v="1"/>
    <n v="7"/>
    <n v="4"/>
    <x v="2"/>
    <n v="1"/>
    <n v="487"/>
    <m/>
    <n v="3"/>
    <x v="0"/>
    <x v="3"/>
    <x v="2"/>
    <n v="5258"/>
    <x v="1"/>
    <s v="Jan"/>
  </r>
  <r>
    <n v="41"/>
    <x v="0"/>
    <x v="0"/>
    <m/>
    <m/>
    <s v="Travel_Frequently"/>
    <n v="143"/>
    <x v="0"/>
    <n v="4"/>
    <n v="3"/>
    <x v="3"/>
    <n v="1"/>
    <n v="488"/>
    <m/>
    <n v="1"/>
    <x v="0"/>
    <x v="0"/>
    <x v="1"/>
    <n v="9355"/>
    <x v="1"/>
    <s v="Jan"/>
  </r>
  <r>
    <n v="50"/>
    <x v="1"/>
    <x v="1"/>
    <m/>
    <m/>
    <s v="Travel_Rarely"/>
    <n v="1046"/>
    <x v="1"/>
    <n v="10"/>
    <n v="3"/>
    <x v="4"/>
    <n v="1"/>
    <n v="491"/>
    <m/>
    <n v="4"/>
    <x v="2"/>
    <x v="4"/>
    <x v="0"/>
    <n v="10496"/>
    <x v="1"/>
    <s v="Jan"/>
  </r>
  <r>
    <n v="40"/>
    <x v="0"/>
    <x v="0"/>
    <m/>
    <m/>
    <s v="Travel_Rarely"/>
    <n v="575"/>
    <x v="0"/>
    <n v="22"/>
    <n v="2"/>
    <x v="3"/>
    <n v="1"/>
    <n v="492"/>
    <m/>
    <n v="3"/>
    <x v="0"/>
    <x v="0"/>
    <x v="2"/>
    <n v="6380"/>
    <x v="0"/>
    <s v="Jan"/>
  </r>
  <r>
    <n v="31"/>
    <x v="2"/>
    <x v="1"/>
    <m/>
    <m/>
    <s v="Travel_Rarely"/>
    <n v="408"/>
    <x v="1"/>
    <n v="9"/>
    <n v="4"/>
    <x v="0"/>
    <n v="1"/>
    <n v="493"/>
    <m/>
    <n v="3"/>
    <x v="1"/>
    <x v="1"/>
    <x v="1"/>
    <n v="2657"/>
    <x v="0"/>
    <s v="Jan"/>
  </r>
  <r>
    <n v="21"/>
    <x v="4"/>
    <x v="0"/>
    <m/>
    <m/>
    <s v="Travel_Rarely"/>
    <n v="156"/>
    <x v="0"/>
    <n v="12"/>
    <n v="3"/>
    <x v="0"/>
    <n v="1"/>
    <n v="494"/>
    <m/>
    <n v="3"/>
    <x v="1"/>
    <x v="6"/>
    <x v="1"/>
    <n v="2716"/>
    <x v="1"/>
    <s v="Jan"/>
  </r>
  <r>
    <n v="29"/>
    <x v="2"/>
    <x v="1"/>
    <m/>
    <m/>
    <s v="Travel_Rarely"/>
    <n v="1283"/>
    <x v="1"/>
    <n v="23"/>
    <n v="3"/>
    <x v="0"/>
    <n v="1"/>
    <n v="495"/>
    <m/>
    <n v="4"/>
    <x v="1"/>
    <x v="1"/>
    <x v="0"/>
    <n v="2201"/>
    <x v="1"/>
    <s v="Jan"/>
  </r>
  <r>
    <n v="35"/>
    <x v="0"/>
    <x v="1"/>
    <m/>
    <m/>
    <s v="Travel_Rarely"/>
    <n v="755"/>
    <x v="1"/>
    <n v="9"/>
    <n v="4"/>
    <x v="0"/>
    <n v="1"/>
    <n v="496"/>
    <m/>
    <n v="3"/>
    <x v="0"/>
    <x v="4"/>
    <x v="1"/>
    <n v="6540"/>
    <x v="1"/>
    <s v="Jan"/>
  </r>
  <r>
    <n v="27"/>
    <x v="2"/>
    <x v="1"/>
    <m/>
    <m/>
    <s v="Travel_Rarely"/>
    <n v="1469"/>
    <x v="1"/>
    <n v="1"/>
    <n v="2"/>
    <x v="2"/>
    <n v="1"/>
    <n v="497"/>
    <m/>
    <n v="4"/>
    <x v="1"/>
    <x v="2"/>
    <x v="1"/>
    <n v="3816"/>
    <x v="1"/>
    <s v="Jan"/>
  </r>
  <r>
    <n v="28"/>
    <x v="2"/>
    <x v="1"/>
    <m/>
    <m/>
    <s v="Travel_Rarely"/>
    <n v="304"/>
    <x v="0"/>
    <n v="9"/>
    <n v="4"/>
    <x v="0"/>
    <n v="1"/>
    <n v="498"/>
    <m/>
    <n v="2"/>
    <x v="0"/>
    <x v="0"/>
    <x v="0"/>
    <n v="5253"/>
    <x v="1"/>
    <s v="Jan"/>
  </r>
  <r>
    <n v="49"/>
    <x v="1"/>
    <x v="1"/>
    <m/>
    <m/>
    <s v="Travel_Rarely"/>
    <n v="1261"/>
    <x v="1"/>
    <n v="7"/>
    <n v="3"/>
    <x v="1"/>
    <n v="1"/>
    <n v="499"/>
    <m/>
    <n v="2"/>
    <x v="2"/>
    <x v="4"/>
    <x v="2"/>
    <n v="10965"/>
    <x v="1"/>
    <s v="Jan"/>
  </r>
  <r>
    <n v="51"/>
    <x v="1"/>
    <x v="1"/>
    <m/>
    <m/>
    <s v="Travel_Rarely"/>
    <n v="1178"/>
    <x v="0"/>
    <n v="14"/>
    <n v="2"/>
    <x v="0"/>
    <n v="1"/>
    <n v="500"/>
    <m/>
    <n v="3"/>
    <x v="0"/>
    <x v="0"/>
    <x v="0"/>
    <n v="4936"/>
    <x v="1"/>
    <s v="Jan"/>
  </r>
  <r>
    <n v="36"/>
    <x v="0"/>
    <x v="1"/>
    <m/>
    <m/>
    <s v="Travel_Rarely"/>
    <n v="329"/>
    <x v="1"/>
    <n v="2"/>
    <n v="3"/>
    <x v="0"/>
    <n v="1"/>
    <n v="501"/>
    <m/>
    <n v="4"/>
    <x v="1"/>
    <x v="1"/>
    <x v="2"/>
    <n v="2543"/>
    <x v="1"/>
    <s v="Jan"/>
  </r>
  <r>
    <n v="34"/>
    <x v="2"/>
    <x v="0"/>
    <m/>
    <m/>
    <s v="Non-Travel"/>
    <n v="1362"/>
    <x v="0"/>
    <n v="19"/>
    <n v="3"/>
    <x v="3"/>
    <n v="1"/>
    <n v="502"/>
    <m/>
    <n v="1"/>
    <x v="0"/>
    <x v="0"/>
    <x v="0"/>
    <n v="5304"/>
    <x v="0"/>
    <s v="Jan"/>
  </r>
  <r>
    <n v="55"/>
    <x v="3"/>
    <x v="1"/>
    <m/>
    <m/>
    <s v="Travel_Rarely"/>
    <n v="1311"/>
    <x v="1"/>
    <n v="2"/>
    <n v="3"/>
    <x v="0"/>
    <n v="1"/>
    <n v="505"/>
    <m/>
    <n v="3"/>
    <x v="3"/>
    <x v="5"/>
    <x v="0"/>
    <n v="16659"/>
    <x v="0"/>
    <s v="Jan"/>
  </r>
  <r>
    <n v="24"/>
    <x v="4"/>
    <x v="1"/>
    <m/>
    <m/>
    <s v="Travel_Rarely"/>
    <n v="1371"/>
    <x v="0"/>
    <n v="10"/>
    <n v="4"/>
    <x v="3"/>
    <n v="1"/>
    <n v="507"/>
    <m/>
    <n v="4"/>
    <x v="0"/>
    <x v="0"/>
    <x v="2"/>
    <n v="4260"/>
    <x v="0"/>
    <s v="Jan"/>
  </r>
  <r>
    <n v="30"/>
    <x v="2"/>
    <x v="1"/>
    <m/>
    <m/>
    <s v="Travel_Rarely"/>
    <n v="202"/>
    <x v="0"/>
    <n v="2"/>
    <n v="1"/>
    <x v="4"/>
    <n v="1"/>
    <n v="508"/>
    <m/>
    <n v="3"/>
    <x v="1"/>
    <x v="6"/>
    <x v="1"/>
    <n v="2476"/>
    <x v="1"/>
    <s v="Jan"/>
  </r>
  <r>
    <n v="26"/>
    <x v="2"/>
    <x v="0"/>
    <m/>
    <m/>
    <s v="Travel_Frequently"/>
    <n v="575"/>
    <x v="1"/>
    <n v="3"/>
    <n v="1"/>
    <x v="4"/>
    <n v="1"/>
    <n v="510"/>
    <m/>
    <n v="3"/>
    <x v="1"/>
    <x v="1"/>
    <x v="3"/>
    <n v="3102"/>
    <x v="1"/>
    <s v="Jan"/>
  </r>
  <r>
    <n v="22"/>
    <x v="4"/>
    <x v="1"/>
    <m/>
    <m/>
    <s v="Travel_Rarely"/>
    <n v="253"/>
    <x v="1"/>
    <n v="11"/>
    <n v="3"/>
    <x v="2"/>
    <n v="1"/>
    <n v="511"/>
    <m/>
    <n v="1"/>
    <x v="1"/>
    <x v="1"/>
    <x v="1"/>
    <n v="2244"/>
    <x v="1"/>
    <s v="Jan"/>
  </r>
  <r>
    <n v="36"/>
    <x v="0"/>
    <x v="1"/>
    <m/>
    <m/>
    <s v="Travel_Rarely"/>
    <n v="164"/>
    <x v="0"/>
    <n v="2"/>
    <n v="2"/>
    <x v="2"/>
    <n v="1"/>
    <n v="513"/>
    <m/>
    <n v="2"/>
    <x v="2"/>
    <x v="0"/>
    <x v="2"/>
    <n v="7596"/>
    <x v="1"/>
    <s v="Jan"/>
  </r>
  <r>
    <n v="30"/>
    <x v="2"/>
    <x v="0"/>
    <m/>
    <m/>
    <s v="Travel_Frequently"/>
    <n v="464"/>
    <x v="1"/>
    <n v="4"/>
    <n v="3"/>
    <x v="4"/>
    <n v="1"/>
    <n v="514"/>
    <m/>
    <n v="3"/>
    <x v="1"/>
    <x v="1"/>
    <x v="0"/>
    <n v="2285"/>
    <x v="0"/>
    <s v="Jan"/>
  </r>
  <r>
    <n v="37"/>
    <x v="0"/>
    <x v="1"/>
    <m/>
    <m/>
    <s v="Travel_Rarely"/>
    <n v="1107"/>
    <x v="1"/>
    <n v="14"/>
    <n v="3"/>
    <x v="0"/>
    <n v="1"/>
    <n v="515"/>
    <m/>
    <n v="4"/>
    <x v="1"/>
    <x v="2"/>
    <x v="3"/>
    <n v="3034"/>
    <x v="1"/>
    <s v="Jan"/>
  </r>
  <r>
    <n v="40"/>
    <x v="0"/>
    <x v="1"/>
    <m/>
    <m/>
    <s v="Travel_Rarely"/>
    <n v="759"/>
    <x v="0"/>
    <n v="2"/>
    <n v="2"/>
    <x v="3"/>
    <n v="1"/>
    <n v="516"/>
    <m/>
    <n v="4"/>
    <x v="0"/>
    <x v="0"/>
    <x v="1"/>
    <n v="5715"/>
    <x v="1"/>
    <s v="Jan"/>
  </r>
  <r>
    <n v="42"/>
    <x v="0"/>
    <x v="1"/>
    <m/>
    <m/>
    <s v="Travel_Rarely"/>
    <n v="201"/>
    <x v="1"/>
    <n v="1"/>
    <n v="4"/>
    <x v="0"/>
    <n v="1"/>
    <n v="517"/>
    <m/>
    <n v="2"/>
    <x v="1"/>
    <x v="2"/>
    <x v="3"/>
    <n v="2576"/>
    <x v="1"/>
    <s v="Jan"/>
  </r>
  <r>
    <n v="37"/>
    <x v="0"/>
    <x v="1"/>
    <m/>
    <m/>
    <s v="Travel_Rarely"/>
    <n v="1305"/>
    <x v="1"/>
    <n v="10"/>
    <n v="4"/>
    <x v="0"/>
    <n v="1"/>
    <n v="518"/>
    <m/>
    <n v="3"/>
    <x v="0"/>
    <x v="3"/>
    <x v="1"/>
    <n v="4197"/>
    <x v="0"/>
    <s v="Jan"/>
  </r>
  <r>
    <n v="43"/>
    <x v="0"/>
    <x v="1"/>
    <m/>
    <m/>
    <s v="Travel_Rarely"/>
    <n v="982"/>
    <x v="1"/>
    <n v="12"/>
    <n v="3"/>
    <x v="0"/>
    <n v="1"/>
    <n v="520"/>
    <m/>
    <n v="1"/>
    <x v="3"/>
    <x v="7"/>
    <x v="1"/>
    <n v="14336"/>
    <x v="1"/>
    <s v="Jan"/>
  </r>
  <r>
    <n v="40"/>
    <x v="0"/>
    <x v="1"/>
    <m/>
    <m/>
    <s v="Travel_Rarely"/>
    <n v="555"/>
    <x v="1"/>
    <n v="2"/>
    <n v="3"/>
    <x v="2"/>
    <n v="1"/>
    <n v="521"/>
    <m/>
    <n v="2"/>
    <x v="0"/>
    <x v="2"/>
    <x v="2"/>
    <n v="3448"/>
    <x v="1"/>
    <s v="Jan"/>
  </r>
  <r>
    <n v="54"/>
    <x v="1"/>
    <x v="1"/>
    <m/>
    <m/>
    <s v="Travel_Rarely"/>
    <n v="821"/>
    <x v="1"/>
    <n v="5"/>
    <n v="2"/>
    <x v="2"/>
    <n v="1"/>
    <n v="522"/>
    <m/>
    <n v="1"/>
    <x v="4"/>
    <x v="7"/>
    <x v="3"/>
    <n v="19406"/>
    <x v="1"/>
    <s v="Jan"/>
  </r>
  <r>
    <n v="34"/>
    <x v="2"/>
    <x v="1"/>
    <m/>
    <m/>
    <s v="Non-Travel"/>
    <n v="1381"/>
    <x v="0"/>
    <n v="4"/>
    <n v="4"/>
    <x v="3"/>
    <n v="1"/>
    <n v="523"/>
    <m/>
    <n v="3"/>
    <x v="0"/>
    <x v="0"/>
    <x v="2"/>
    <n v="6538"/>
    <x v="1"/>
    <s v="Jan"/>
  </r>
  <r>
    <n v="31"/>
    <x v="2"/>
    <x v="1"/>
    <m/>
    <m/>
    <s v="Travel_Rarely"/>
    <n v="480"/>
    <x v="1"/>
    <n v="7"/>
    <n v="2"/>
    <x v="2"/>
    <n v="1"/>
    <n v="524"/>
    <m/>
    <n v="2"/>
    <x v="0"/>
    <x v="3"/>
    <x v="3"/>
    <n v="4306"/>
    <x v="1"/>
    <s v="Jan"/>
  </r>
  <r>
    <n v="43"/>
    <x v="0"/>
    <x v="1"/>
    <m/>
    <m/>
    <s v="Travel_Frequently"/>
    <n v="313"/>
    <x v="1"/>
    <n v="21"/>
    <n v="3"/>
    <x v="2"/>
    <n v="1"/>
    <n v="525"/>
    <m/>
    <n v="4"/>
    <x v="1"/>
    <x v="2"/>
    <x v="0"/>
    <n v="2258"/>
    <x v="1"/>
    <s v="Jan"/>
  </r>
  <r>
    <n v="43"/>
    <x v="0"/>
    <x v="1"/>
    <m/>
    <m/>
    <s v="Travel_Rarely"/>
    <n v="1473"/>
    <x v="1"/>
    <n v="8"/>
    <n v="4"/>
    <x v="1"/>
    <n v="1"/>
    <n v="526"/>
    <m/>
    <n v="3"/>
    <x v="0"/>
    <x v="4"/>
    <x v="2"/>
    <n v="4522"/>
    <x v="0"/>
    <s v="Jan"/>
  </r>
  <r>
    <n v="25"/>
    <x v="2"/>
    <x v="1"/>
    <m/>
    <m/>
    <s v="Travel_Rarely"/>
    <n v="891"/>
    <x v="0"/>
    <n v="4"/>
    <n v="2"/>
    <x v="0"/>
    <n v="1"/>
    <n v="527"/>
    <m/>
    <n v="2"/>
    <x v="0"/>
    <x v="0"/>
    <x v="0"/>
    <n v="4487"/>
    <x v="0"/>
    <s v="Jan"/>
  </r>
  <r>
    <n v="37"/>
    <x v="0"/>
    <x v="1"/>
    <m/>
    <m/>
    <s v="Non-Travel"/>
    <n v="1063"/>
    <x v="1"/>
    <n v="25"/>
    <n v="5"/>
    <x v="2"/>
    <n v="1"/>
    <n v="529"/>
    <m/>
    <n v="2"/>
    <x v="0"/>
    <x v="1"/>
    <x v="2"/>
    <n v="4449"/>
    <x v="0"/>
    <s v="Jan"/>
  </r>
  <r>
    <n v="31"/>
    <x v="2"/>
    <x v="1"/>
    <m/>
    <m/>
    <s v="Travel_Rarely"/>
    <n v="329"/>
    <x v="1"/>
    <n v="1"/>
    <n v="2"/>
    <x v="0"/>
    <n v="1"/>
    <n v="530"/>
    <m/>
    <n v="4"/>
    <x v="1"/>
    <x v="2"/>
    <x v="3"/>
    <n v="2218"/>
    <x v="1"/>
    <s v="Jan"/>
  </r>
  <r>
    <n v="39"/>
    <x v="0"/>
    <x v="1"/>
    <m/>
    <m/>
    <s v="Travel_Frequently"/>
    <n v="1218"/>
    <x v="1"/>
    <n v="1"/>
    <n v="1"/>
    <x v="0"/>
    <n v="1"/>
    <n v="531"/>
    <m/>
    <n v="2"/>
    <x v="4"/>
    <x v="5"/>
    <x v="2"/>
    <n v="19197"/>
    <x v="0"/>
    <s v="Jan"/>
  </r>
  <r>
    <n v="56"/>
    <x v="3"/>
    <x v="1"/>
    <m/>
    <m/>
    <s v="Travel_Frequently"/>
    <n v="906"/>
    <x v="0"/>
    <n v="6"/>
    <n v="3"/>
    <x v="0"/>
    <n v="1"/>
    <n v="532"/>
    <m/>
    <n v="3"/>
    <x v="3"/>
    <x v="0"/>
    <x v="3"/>
    <n v="13212"/>
    <x v="1"/>
    <s v="Jan"/>
  </r>
  <r>
    <n v="30"/>
    <x v="2"/>
    <x v="1"/>
    <m/>
    <m/>
    <s v="Travel_Rarely"/>
    <n v="1082"/>
    <x v="0"/>
    <n v="12"/>
    <n v="3"/>
    <x v="4"/>
    <n v="1"/>
    <n v="533"/>
    <m/>
    <n v="2"/>
    <x v="0"/>
    <x v="0"/>
    <x v="2"/>
    <n v="6577"/>
    <x v="1"/>
    <s v="Jan"/>
  </r>
  <r>
    <n v="41"/>
    <x v="0"/>
    <x v="1"/>
    <m/>
    <m/>
    <s v="Travel_Rarely"/>
    <n v="645"/>
    <x v="0"/>
    <n v="1"/>
    <n v="3"/>
    <x v="3"/>
    <n v="1"/>
    <n v="534"/>
    <m/>
    <n v="2"/>
    <x v="2"/>
    <x v="0"/>
    <x v="3"/>
    <n v="8392"/>
    <x v="1"/>
    <s v="Jan"/>
  </r>
  <r>
    <n v="28"/>
    <x v="2"/>
    <x v="1"/>
    <m/>
    <m/>
    <s v="Travel_Rarely"/>
    <n v="1300"/>
    <x v="1"/>
    <n v="17"/>
    <n v="2"/>
    <x v="2"/>
    <n v="1"/>
    <n v="536"/>
    <m/>
    <n v="3"/>
    <x v="0"/>
    <x v="2"/>
    <x v="3"/>
    <n v="4558"/>
    <x v="1"/>
    <s v="Jan"/>
  </r>
  <r>
    <n v="25"/>
    <x v="2"/>
    <x v="0"/>
    <m/>
    <m/>
    <s v="Travel_Rarely"/>
    <n v="688"/>
    <x v="1"/>
    <n v="3"/>
    <n v="3"/>
    <x v="2"/>
    <n v="1"/>
    <n v="538"/>
    <m/>
    <n v="1"/>
    <x v="1"/>
    <x v="2"/>
    <x v="3"/>
    <n v="4031"/>
    <x v="1"/>
    <s v="Jan"/>
  </r>
  <r>
    <n v="52"/>
    <x v="1"/>
    <x v="1"/>
    <m/>
    <m/>
    <s v="Travel_Rarely"/>
    <n v="319"/>
    <x v="1"/>
    <n v="3"/>
    <n v="3"/>
    <x v="2"/>
    <n v="1"/>
    <n v="543"/>
    <m/>
    <n v="4"/>
    <x v="2"/>
    <x v="3"/>
    <x v="2"/>
    <n v="7969"/>
    <x v="0"/>
    <s v="Jan"/>
  </r>
  <r>
    <n v="45"/>
    <x v="1"/>
    <x v="1"/>
    <m/>
    <m/>
    <s v="Travel_Rarely"/>
    <n v="192"/>
    <x v="1"/>
    <n v="10"/>
    <n v="2"/>
    <x v="0"/>
    <n v="1"/>
    <n v="544"/>
    <m/>
    <n v="1"/>
    <x v="1"/>
    <x v="1"/>
    <x v="0"/>
    <n v="2654"/>
    <x v="1"/>
    <s v="Jan"/>
  </r>
  <r>
    <n v="52"/>
    <x v="1"/>
    <x v="1"/>
    <m/>
    <m/>
    <s v="Travel_Rarely"/>
    <n v="1490"/>
    <x v="1"/>
    <n v="4"/>
    <n v="2"/>
    <x v="0"/>
    <n v="1"/>
    <n v="546"/>
    <m/>
    <n v="4"/>
    <x v="3"/>
    <x v="5"/>
    <x v="0"/>
    <n v="16555"/>
    <x v="1"/>
    <s v="Jan"/>
  </r>
  <r>
    <n v="42"/>
    <x v="0"/>
    <x v="1"/>
    <m/>
    <m/>
    <s v="Travel_Frequently"/>
    <n v="532"/>
    <x v="1"/>
    <n v="29"/>
    <n v="2"/>
    <x v="0"/>
    <n v="1"/>
    <n v="547"/>
    <m/>
    <n v="1"/>
    <x v="0"/>
    <x v="1"/>
    <x v="2"/>
    <n v="4556"/>
    <x v="1"/>
    <s v="Jan"/>
  </r>
  <r>
    <n v="30"/>
    <x v="2"/>
    <x v="1"/>
    <m/>
    <m/>
    <s v="Travel_Rarely"/>
    <n v="317"/>
    <x v="1"/>
    <n v="2"/>
    <n v="3"/>
    <x v="0"/>
    <n v="1"/>
    <n v="548"/>
    <m/>
    <n v="3"/>
    <x v="0"/>
    <x v="3"/>
    <x v="0"/>
    <n v="6091"/>
    <x v="1"/>
    <s v="Jan"/>
  </r>
  <r>
    <n v="60"/>
    <x v="3"/>
    <x v="1"/>
    <m/>
    <m/>
    <s v="Travel_Rarely"/>
    <n v="422"/>
    <x v="1"/>
    <n v="7"/>
    <n v="3"/>
    <x v="0"/>
    <n v="1"/>
    <n v="549"/>
    <m/>
    <n v="1"/>
    <x v="4"/>
    <x v="5"/>
    <x v="3"/>
    <n v="19566"/>
    <x v="1"/>
    <s v="Jan"/>
  </r>
  <r>
    <n v="46"/>
    <x v="1"/>
    <x v="1"/>
    <m/>
    <m/>
    <s v="Travel_Rarely"/>
    <n v="1485"/>
    <x v="1"/>
    <n v="18"/>
    <n v="3"/>
    <x v="2"/>
    <n v="1"/>
    <n v="550"/>
    <m/>
    <n v="3"/>
    <x v="0"/>
    <x v="3"/>
    <x v="2"/>
    <n v="4810"/>
    <x v="1"/>
    <s v="Jan"/>
  </r>
  <r>
    <n v="42"/>
    <x v="0"/>
    <x v="1"/>
    <m/>
    <m/>
    <s v="Travel_Frequently"/>
    <n v="1368"/>
    <x v="1"/>
    <n v="28"/>
    <n v="4"/>
    <x v="4"/>
    <n v="1"/>
    <n v="551"/>
    <m/>
    <n v="4"/>
    <x v="0"/>
    <x v="4"/>
    <x v="0"/>
    <n v="4523"/>
    <x v="1"/>
    <s v="Jan"/>
  </r>
  <r>
    <n v="24"/>
    <x v="4"/>
    <x v="0"/>
    <m/>
    <m/>
    <s v="Travel_Rarely"/>
    <n v="1448"/>
    <x v="0"/>
    <n v="1"/>
    <n v="1"/>
    <x v="4"/>
    <n v="1"/>
    <n v="554"/>
    <m/>
    <n v="1"/>
    <x v="1"/>
    <x v="6"/>
    <x v="1"/>
    <n v="3202"/>
    <x v="0"/>
    <s v="Jan"/>
  </r>
  <r>
    <n v="34"/>
    <x v="2"/>
    <x v="0"/>
    <m/>
    <m/>
    <s v="Travel_Frequently"/>
    <n v="296"/>
    <x v="0"/>
    <n v="6"/>
    <n v="2"/>
    <x v="3"/>
    <n v="1"/>
    <n v="555"/>
    <m/>
    <n v="4"/>
    <x v="1"/>
    <x v="6"/>
    <x v="2"/>
    <n v="2351"/>
    <x v="1"/>
    <s v="Jan"/>
  </r>
  <r>
    <n v="38"/>
    <x v="0"/>
    <x v="1"/>
    <m/>
    <m/>
    <s v="Travel_Frequently"/>
    <n v="1490"/>
    <x v="1"/>
    <n v="2"/>
    <n v="2"/>
    <x v="0"/>
    <n v="1"/>
    <n v="556"/>
    <m/>
    <n v="4"/>
    <x v="1"/>
    <x v="2"/>
    <x v="0"/>
    <n v="1702"/>
    <x v="0"/>
    <s v="Jan"/>
  </r>
  <r>
    <n v="40"/>
    <x v="0"/>
    <x v="1"/>
    <m/>
    <m/>
    <s v="Travel_Rarely"/>
    <n v="1398"/>
    <x v="0"/>
    <n v="2"/>
    <n v="4"/>
    <x v="0"/>
    <n v="1"/>
    <n v="558"/>
    <m/>
    <n v="3"/>
    <x v="4"/>
    <x v="5"/>
    <x v="2"/>
    <n v="18041"/>
    <x v="1"/>
    <s v="Jan"/>
  </r>
  <r>
    <n v="26"/>
    <x v="2"/>
    <x v="1"/>
    <m/>
    <m/>
    <s v="Travel_Rarely"/>
    <n v="1349"/>
    <x v="1"/>
    <n v="23"/>
    <n v="3"/>
    <x v="0"/>
    <n v="1"/>
    <n v="560"/>
    <m/>
    <n v="1"/>
    <x v="1"/>
    <x v="1"/>
    <x v="0"/>
    <n v="2886"/>
    <x v="1"/>
    <s v="Jan"/>
  </r>
  <r>
    <n v="30"/>
    <x v="2"/>
    <x v="1"/>
    <m/>
    <m/>
    <s v="Non-Travel"/>
    <n v="1400"/>
    <x v="1"/>
    <n v="3"/>
    <n v="3"/>
    <x v="0"/>
    <n v="1"/>
    <n v="562"/>
    <m/>
    <n v="3"/>
    <x v="1"/>
    <x v="2"/>
    <x v="0"/>
    <n v="2097"/>
    <x v="1"/>
    <s v="Jan"/>
  </r>
  <r>
    <n v="29"/>
    <x v="2"/>
    <x v="1"/>
    <m/>
    <m/>
    <s v="Travel_Rarely"/>
    <n v="986"/>
    <x v="1"/>
    <n v="3"/>
    <n v="4"/>
    <x v="2"/>
    <n v="1"/>
    <n v="564"/>
    <m/>
    <n v="2"/>
    <x v="2"/>
    <x v="7"/>
    <x v="2"/>
    <n v="11935"/>
    <x v="1"/>
    <s v="Jan"/>
  </r>
  <r>
    <n v="29"/>
    <x v="2"/>
    <x v="0"/>
    <m/>
    <m/>
    <s v="Travel_Rarely"/>
    <n v="408"/>
    <x v="1"/>
    <n v="25"/>
    <n v="5"/>
    <x v="4"/>
    <n v="1"/>
    <n v="565"/>
    <m/>
    <n v="3"/>
    <x v="1"/>
    <x v="1"/>
    <x v="1"/>
    <n v="2546"/>
    <x v="1"/>
    <s v="Jan"/>
  </r>
  <r>
    <n v="19"/>
    <x v="4"/>
    <x v="0"/>
    <m/>
    <m/>
    <s v="Travel_Rarely"/>
    <n v="489"/>
    <x v="2"/>
    <n v="2"/>
    <n v="2"/>
    <x v="4"/>
    <n v="1"/>
    <n v="566"/>
    <m/>
    <n v="1"/>
    <x v="1"/>
    <x v="8"/>
    <x v="0"/>
    <n v="2564"/>
    <x v="1"/>
    <s v="Jan"/>
  </r>
  <r>
    <n v="30"/>
    <x v="2"/>
    <x v="1"/>
    <m/>
    <m/>
    <s v="Non-Travel"/>
    <n v="1398"/>
    <x v="0"/>
    <n v="22"/>
    <n v="4"/>
    <x v="1"/>
    <n v="1"/>
    <n v="567"/>
    <m/>
    <n v="3"/>
    <x v="2"/>
    <x v="0"/>
    <x v="3"/>
    <n v="8412"/>
    <x v="1"/>
    <s v="Jan"/>
  </r>
  <r>
    <n v="57"/>
    <x v="3"/>
    <x v="1"/>
    <m/>
    <m/>
    <s v="Travel_Rarely"/>
    <n v="210"/>
    <x v="0"/>
    <n v="29"/>
    <n v="3"/>
    <x v="3"/>
    <n v="1"/>
    <n v="568"/>
    <m/>
    <n v="1"/>
    <x v="3"/>
    <x v="5"/>
    <x v="0"/>
    <n v="14118"/>
    <x v="1"/>
    <s v="Jan"/>
  </r>
  <r>
    <n v="50"/>
    <x v="1"/>
    <x v="1"/>
    <m/>
    <m/>
    <s v="Travel_Rarely"/>
    <n v="1099"/>
    <x v="1"/>
    <n v="29"/>
    <n v="4"/>
    <x v="0"/>
    <n v="1"/>
    <n v="569"/>
    <m/>
    <n v="2"/>
    <x v="3"/>
    <x v="5"/>
    <x v="2"/>
    <n v="17046"/>
    <x v="1"/>
    <s v="Jan"/>
  </r>
  <r>
    <n v="30"/>
    <x v="2"/>
    <x v="1"/>
    <m/>
    <m/>
    <s v="Non-Travel"/>
    <n v="1116"/>
    <x v="1"/>
    <n v="2"/>
    <n v="3"/>
    <x v="2"/>
    <n v="1"/>
    <n v="571"/>
    <m/>
    <n v="3"/>
    <x v="1"/>
    <x v="2"/>
    <x v="0"/>
    <n v="2564"/>
    <x v="1"/>
    <s v="Jan"/>
  </r>
  <r>
    <n v="60"/>
    <x v="3"/>
    <x v="1"/>
    <m/>
    <m/>
    <s v="Travel_Frequently"/>
    <n v="1499"/>
    <x v="0"/>
    <n v="28"/>
    <n v="3"/>
    <x v="3"/>
    <n v="1"/>
    <n v="573"/>
    <m/>
    <n v="3"/>
    <x v="2"/>
    <x v="0"/>
    <x v="3"/>
    <n v="10266"/>
    <x v="1"/>
    <s v="Jan"/>
  </r>
  <r>
    <n v="47"/>
    <x v="1"/>
    <x v="1"/>
    <m/>
    <m/>
    <s v="Travel_Rarely"/>
    <n v="983"/>
    <x v="1"/>
    <n v="2"/>
    <n v="2"/>
    <x v="2"/>
    <n v="1"/>
    <n v="574"/>
    <m/>
    <n v="1"/>
    <x v="0"/>
    <x v="3"/>
    <x v="0"/>
    <n v="5070"/>
    <x v="1"/>
    <s v="Jan"/>
  </r>
  <r>
    <n v="46"/>
    <x v="1"/>
    <x v="1"/>
    <m/>
    <m/>
    <s v="Travel_Rarely"/>
    <n v="1009"/>
    <x v="1"/>
    <n v="2"/>
    <n v="3"/>
    <x v="0"/>
    <n v="1"/>
    <n v="575"/>
    <m/>
    <n v="1"/>
    <x v="3"/>
    <x v="7"/>
    <x v="2"/>
    <n v="17861"/>
    <x v="1"/>
    <s v="Jan"/>
  </r>
  <r>
    <n v="35"/>
    <x v="0"/>
    <x v="1"/>
    <m/>
    <m/>
    <s v="Travel_Rarely"/>
    <n v="144"/>
    <x v="1"/>
    <n v="22"/>
    <n v="3"/>
    <x v="0"/>
    <n v="1"/>
    <n v="577"/>
    <m/>
    <n v="4"/>
    <x v="1"/>
    <x v="2"/>
    <x v="2"/>
    <n v="4230"/>
    <x v="1"/>
    <s v="Jan"/>
  </r>
  <r>
    <n v="54"/>
    <x v="1"/>
    <x v="1"/>
    <m/>
    <m/>
    <s v="Travel_Rarely"/>
    <n v="548"/>
    <x v="1"/>
    <n v="8"/>
    <n v="4"/>
    <x v="0"/>
    <n v="1"/>
    <n v="578"/>
    <m/>
    <n v="3"/>
    <x v="0"/>
    <x v="2"/>
    <x v="2"/>
    <n v="3780"/>
    <x v="1"/>
    <s v="Jan"/>
  </r>
  <r>
    <n v="34"/>
    <x v="2"/>
    <x v="1"/>
    <m/>
    <m/>
    <s v="Travel_Rarely"/>
    <n v="1303"/>
    <x v="1"/>
    <n v="2"/>
    <n v="4"/>
    <x v="0"/>
    <n v="1"/>
    <n v="579"/>
    <m/>
    <n v="4"/>
    <x v="1"/>
    <x v="1"/>
    <x v="2"/>
    <n v="2768"/>
    <x v="1"/>
    <s v="Jan"/>
  </r>
  <r>
    <n v="46"/>
    <x v="1"/>
    <x v="1"/>
    <m/>
    <m/>
    <s v="Travel_Rarely"/>
    <n v="1125"/>
    <x v="0"/>
    <n v="10"/>
    <n v="3"/>
    <x v="3"/>
    <n v="1"/>
    <n v="580"/>
    <m/>
    <n v="3"/>
    <x v="2"/>
    <x v="0"/>
    <x v="0"/>
    <n v="9071"/>
    <x v="0"/>
    <s v="Jan"/>
  </r>
  <r>
    <n v="31"/>
    <x v="2"/>
    <x v="1"/>
    <m/>
    <m/>
    <s v="Travel_Rarely"/>
    <n v="1274"/>
    <x v="1"/>
    <n v="9"/>
    <n v="1"/>
    <x v="0"/>
    <n v="1"/>
    <n v="581"/>
    <m/>
    <n v="3"/>
    <x v="2"/>
    <x v="3"/>
    <x v="1"/>
    <n v="10648"/>
    <x v="1"/>
    <s v="Jan"/>
  </r>
  <r>
    <n v="33"/>
    <x v="2"/>
    <x v="0"/>
    <m/>
    <m/>
    <s v="Travel_Rarely"/>
    <n v="1277"/>
    <x v="1"/>
    <n v="15"/>
    <n v="1"/>
    <x v="2"/>
    <n v="1"/>
    <n v="582"/>
    <m/>
    <n v="2"/>
    <x v="2"/>
    <x v="5"/>
    <x v="2"/>
    <n v="13610"/>
    <x v="0"/>
    <s v="Jan"/>
  </r>
  <r>
    <n v="33"/>
    <x v="2"/>
    <x v="0"/>
    <m/>
    <m/>
    <s v="Travel_Rarely"/>
    <n v="587"/>
    <x v="1"/>
    <n v="10"/>
    <n v="1"/>
    <x v="2"/>
    <n v="1"/>
    <n v="584"/>
    <m/>
    <n v="1"/>
    <x v="1"/>
    <x v="2"/>
    <x v="0"/>
    <n v="3408"/>
    <x v="1"/>
    <s v="Jan"/>
  </r>
  <r>
    <n v="30"/>
    <x v="2"/>
    <x v="1"/>
    <m/>
    <m/>
    <s v="Travel_Rarely"/>
    <n v="413"/>
    <x v="0"/>
    <n v="7"/>
    <n v="1"/>
    <x v="3"/>
    <n v="1"/>
    <n v="585"/>
    <m/>
    <n v="4"/>
    <x v="1"/>
    <x v="6"/>
    <x v="1"/>
    <n v="2983"/>
    <x v="1"/>
    <s v="Jan"/>
  </r>
  <r>
    <n v="35"/>
    <x v="0"/>
    <x v="1"/>
    <m/>
    <m/>
    <s v="Travel_Rarely"/>
    <n v="1276"/>
    <x v="1"/>
    <n v="16"/>
    <n v="3"/>
    <x v="0"/>
    <n v="1"/>
    <n v="586"/>
    <m/>
    <n v="4"/>
    <x v="2"/>
    <x v="4"/>
    <x v="2"/>
    <n v="7632"/>
    <x v="0"/>
    <s v="Jan"/>
  </r>
  <r>
    <n v="31"/>
    <x v="2"/>
    <x v="0"/>
    <m/>
    <m/>
    <s v="Travel_Frequently"/>
    <n v="534"/>
    <x v="1"/>
    <n v="20"/>
    <n v="3"/>
    <x v="0"/>
    <n v="1"/>
    <n v="587"/>
    <m/>
    <n v="1"/>
    <x v="2"/>
    <x v="4"/>
    <x v="2"/>
    <n v="9824"/>
    <x v="1"/>
    <s v="Jan"/>
  </r>
  <r>
    <n v="34"/>
    <x v="2"/>
    <x v="0"/>
    <m/>
    <m/>
    <s v="Travel_Frequently"/>
    <n v="988"/>
    <x v="2"/>
    <n v="23"/>
    <n v="3"/>
    <x v="5"/>
    <n v="1"/>
    <n v="590"/>
    <m/>
    <n v="2"/>
    <x v="2"/>
    <x v="8"/>
    <x v="3"/>
    <n v="9950"/>
    <x v="0"/>
    <s v="Jan"/>
  </r>
  <r>
    <n v="42"/>
    <x v="0"/>
    <x v="1"/>
    <m/>
    <m/>
    <s v="Travel_Frequently"/>
    <n v="1474"/>
    <x v="1"/>
    <n v="5"/>
    <n v="2"/>
    <x v="1"/>
    <n v="1"/>
    <n v="591"/>
    <m/>
    <n v="2"/>
    <x v="1"/>
    <x v="2"/>
    <x v="2"/>
    <n v="2093"/>
    <x v="1"/>
    <s v="Jan"/>
  </r>
  <r>
    <n v="36"/>
    <x v="0"/>
    <x v="1"/>
    <m/>
    <m/>
    <s v="Non-Travel"/>
    <n v="635"/>
    <x v="0"/>
    <n v="10"/>
    <n v="4"/>
    <x v="2"/>
    <n v="1"/>
    <n v="592"/>
    <m/>
    <n v="2"/>
    <x v="2"/>
    <x v="0"/>
    <x v="0"/>
    <n v="9980"/>
    <x v="1"/>
    <s v="Jan"/>
  </r>
  <r>
    <n v="22"/>
    <x v="4"/>
    <x v="0"/>
    <m/>
    <m/>
    <s v="Travel_Frequently"/>
    <n v="1368"/>
    <x v="1"/>
    <n v="4"/>
    <n v="1"/>
    <x v="4"/>
    <n v="1"/>
    <n v="593"/>
    <m/>
    <n v="3"/>
    <x v="1"/>
    <x v="2"/>
    <x v="2"/>
    <n v="3894"/>
    <x v="1"/>
    <s v="Jan"/>
  </r>
  <r>
    <n v="48"/>
    <x v="1"/>
    <x v="1"/>
    <m/>
    <m/>
    <s v="Travel_Rarely"/>
    <n v="163"/>
    <x v="0"/>
    <n v="2"/>
    <n v="5"/>
    <x v="3"/>
    <n v="1"/>
    <n v="595"/>
    <m/>
    <n v="2"/>
    <x v="0"/>
    <x v="0"/>
    <x v="0"/>
    <n v="4051"/>
    <x v="1"/>
    <s v="Jan"/>
  </r>
  <r>
    <n v="55"/>
    <x v="3"/>
    <x v="1"/>
    <m/>
    <m/>
    <s v="Travel_Rarely"/>
    <n v="1117"/>
    <x v="0"/>
    <n v="18"/>
    <n v="5"/>
    <x v="0"/>
    <n v="1"/>
    <n v="597"/>
    <m/>
    <n v="1"/>
    <x v="3"/>
    <x v="5"/>
    <x v="1"/>
    <n v="16835"/>
    <x v="1"/>
    <s v="Jan"/>
  </r>
  <r>
    <n v="41"/>
    <x v="0"/>
    <x v="1"/>
    <m/>
    <m/>
    <s v="Non-Travel"/>
    <n v="267"/>
    <x v="0"/>
    <n v="10"/>
    <n v="2"/>
    <x v="0"/>
    <n v="1"/>
    <n v="599"/>
    <m/>
    <n v="4"/>
    <x v="0"/>
    <x v="0"/>
    <x v="0"/>
    <n v="6230"/>
    <x v="1"/>
    <s v="Jan"/>
  </r>
  <r>
    <n v="35"/>
    <x v="0"/>
    <x v="1"/>
    <m/>
    <m/>
    <s v="Travel_Rarely"/>
    <n v="619"/>
    <x v="0"/>
    <n v="1"/>
    <n v="3"/>
    <x v="3"/>
    <n v="1"/>
    <n v="600"/>
    <m/>
    <n v="2"/>
    <x v="0"/>
    <x v="0"/>
    <x v="2"/>
    <n v="4717"/>
    <x v="1"/>
    <s v="Jan"/>
  </r>
  <r>
    <n v="40"/>
    <x v="0"/>
    <x v="1"/>
    <m/>
    <m/>
    <s v="Travel_Rarely"/>
    <n v="302"/>
    <x v="1"/>
    <n v="6"/>
    <n v="3"/>
    <x v="0"/>
    <n v="1"/>
    <n v="601"/>
    <m/>
    <n v="2"/>
    <x v="3"/>
    <x v="3"/>
    <x v="2"/>
    <n v="13237"/>
    <x v="1"/>
    <s v="Jan"/>
  </r>
  <r>
    <n v="39"/>
    <x v="0"/>
    <x v="1"/>
    <m/>
    <m/>
    <s v="Travel_Frequently"/>
    <n v="443"/>
    <x v="1"/>
    <n v="8"/>
    <n v="1"/>
    <x v="0"/>
    <n v="1"/>
    <n v="602"/>
    <m/>
    <n v="3"/>
    <x v="1"/>
    <x v="2"/>
    <x v="2"/>
    <n v="3755"/>
    <x v="1"/>
    <s v="Jan"/>
  </r>
  <r>
    <n v="31"/>
    <x v="2"/>
    <x v="1"/>
    <m/>
    <m/>
    <s v="Travel_Rarely"/>
    <n v="828"/>
    <x v="0"/>
    <n v="2"/>
    <n v="1"/>
    <x v="0"/>
    <n v="1"/>
    <n v="604"/>
    <m/>
    <n v="2"/>
    <x v="0"/>
    <x v="0"/>
    <x v="0"/>
    <n v="6582"/>
    <x v="0"/>
    <s v="Jan"/>
  </r>
  <r>
    <n v="42"/>
    <x v="0"/>
    <x v="1"/>
    <m/>
    <m/>
    <s v="Travel_Rarely"/>
    <n v="319"/>
    <x v="1"/>
    <n v="24"/>
    <n v="3"/>
    <x v="2"/>
    <n v="1"/>
    <n v="605"/>
    <m/>
    <n v="4"/>
    <x v="2"/>
    <x v="3"/>
    <x v="3"/>
    <n v="7406"/>
    <x v="0"/>
    <s v="Jan"/>
  </r>
  <r>
    <n v="45"/>
    <x v="1"/>
    <x v="1"/>
    <m/>
    <m/>
    <s v="Travel_Rarely"/>
    <n v="561"/>
    <x v="0"/>
    <n v="2"/>
    <n v="3"/>
    <x v="1"/>
    <n v="1"/>
    <n v="606"/>
    <m/>
    <n v="4"/>
    <x v="0"/>
    <x v="0"/>
    <x v="1"/>
    <n v="4805"/>
    <x v="1"/>
    <s v="Jan"/>
  </r>
  <r>
    <n v="26"/>
    <x v="2"/>
    <x v="0"/>
    <m/>
    <m/>
    <s v="Travel_Frequently"/>
    <n v="426"/>
    <x v="2"/>
    <n v="17"/>
    <n v="4"/>
    <x v="0"/>
    <n v="1"/>
    <n v="608"/>
    <m/>
    <n v="2"/>
    <x v="1"/>
    <x v="8"/>
    <x v="2"/>
    <n v="2741"/>
    <x v="0"/>
    <s v="Jan"/>
  </r>
  <r>
    <n v="29"/>
    <x v="2"/>
    <x v="1"/>
    <m/>
    <m/>
    <s v="Travel_Rarely"/>
    <n v="232"/>
    <x v="1"/>
    <n v="19"/>
    <n v="3"/>
    <x v="4"/>
    <n v="1"/>
    <n v="611"/>
    <m/>
    <n v="4"/>
    <x v="0"/>
    <x v="3"/>
    <x v="0"/>
    <n v="4262"/>
    <x v="1"/>
    <s v="Jan"/>
  </r>
  <r>
    <n v="33"/>
    <x v="2"/>
    <x v="1"/>
    <m/>
    <m/>
    <s v="Travel_Rarely"/>
    <n v="922"/>
    <x v="1"/>
    <n v="1"/>
    <n v="5"/>
    <x v="2"/>
    <n v="1"/>
    <n v="612"/>
    <m/>
    <n v="1"/>
    <x v="3"/>
    <x v="7"/>
    <x v="2"/>
    <n v="16184"/>
    <x v="1"/>
    <s v="Jan"/>
  </r>
  <r>
    <n v="31"/>
    <x v="2"/>
    <x v="1"/>
    <m/>
    <m/>
    <s v="Travel_Rarely"/>
    <n v="688"/>
    <x v="0"/>
    <n v="7"/>
    <n v="3"/>
    <x v="0"/>
    <n v="1"/>
    <n v="613"/>
    <m/>
    <n v="3"/>
    <x v="2"/>
    <x v="5"/>
    <x v="0"/>
    <n v="11557"/>
    <x v="1"/>
    <s v="Jan"/>
  </r>
  <r>
    <n v="18"/>
    <x v="4"/>
    <x v="0"/>
    <m/>
    <m/>
    <s v="Travel_Frequently"/>
    <n v="1306"/>
    <x v="0"/>
    <n v="5"/>
    <n v="3"/>
    <x v="3"/>
    <n v="1"/>
    <n v="614"/>
    <m/>
    <n v="2"/>
    <x v="1"/>
    <x v="6"/>
    <x v="1"/>
    <n v="1878"/>
    <x v="0"/>
    <s v="Jan"/>
  </r>
  <r>
    <n v="40"/>
    <x v="0"/>
    <x v="1"/>
    <m/>
    <m/>
    <s v="Non-Travel"/>
    <n v="1094"/>
    <x v="0"/>
    <n v="28"/>
    <n v="3"/>
    <x v="1"/>
    <n v="1"/>
    <n v="615"/>
    <m/>
    <n v="3"/>
    <x v="2"/>
    <x v="0"/>
    <x v="3"/>
    <n v="10932"/>
    <x v="1"/>
    <s v="Jan"/>
  </r>
  <r>
    <n v="41"/>
    <x v="0"/>
    <x v="1"/>
    <m/>
    <m/>
    <s v="Non-Travel"/>
    <n v="509"/>
    <x v="1"/>
    <n v="2"/>
    <n v="4"/>
    <x v="1"/>
    <n v="1"/>
    <n v="616"/>
    <m/>
    <n v="1"/>
    <x v="0"/>
    <x v="4"/>
    <x v="2"/>
    <n v="6811"/>
    <x v="0"/>
    <s v="Jan"/>
  </r>
  <r>
    <n v="26"/>
    <x v="2"/>
    <x v="1"/>
    <m/>
    <m/>
    <s v="Travel_Rarely"/>
    <n v="775"/>
    <x v="0"/>
    <n v="29"/>
    <n v="2"/>
    <x v="2"/>
    <n v="1"/>
    <n v="618"/>
    <m/>
    <n v="1"/>
    <x v="0"/>
    <x v="0"/>
    <x v="2"/>
    <n v="4306"/>
    <x v="1"/>
    <s v="Jan"/>
  </r>
  <r>
    <n v="35"/>
    <x v="0"/>
    <x v="1"/>
    <m/>
    <m/>
    <s v="Travel_Rarely"/>
    <n v="195"/>
    <x v="0"/>
    <n v="1"/>
    <n v="3"/>
    <x v="2"/>
    <n v="1"/>
    <n v="620"/>
    <m/>
    <n v="1"/>
    <x v="0"/>
    <x v="0"/>
    <x v="2"/>
    <n v="4859"/>
    <x v="1"/>
    <s v="Jan"/>
  </r>
  <r>
    <n v="34"/>
    <x v="2"/>
    <x v="1"/>
    <m/>
    <m/>
    <s v="Travel_Rarely"/>
    <n v="258"/>
    <x v="0"/>
    <n v="21"/>
    <n v="4"/>
    <x v="0"/>
    <n v="1"/>
    <n v="621"/>
    <m/>
    <n v="4"/>
    <x v="0"/>
    <x v="0"/>
    <x v="0"/>
    <n v="5337"/>
    <x v="1"/>
    <s v="Jan"/>
  </r>
  <r>
    <n v="26"/>
    <x v="2"/>
    <x v="0"/>
    <m/>
    <m/>
    <s v="Travel_Rarely"/>
    <n v="471"/>
    <x v="1"/>
    <n v="24"/>
    <n v="3"/>
    <x v="4"/>
    <n v="1"/>
    <n v="622"/>
    <m/>
    <n v="3"/>
    <x v="1"/>
    <x v="2"/>
    <x v="0"/>
    <n v="2340"/>
    <x v="0"/>
    <s v="Jan"/>
  </r>
  <r>
    <n v="37"/>
    <x v="0"/>
    <x v="1"/>
    <m/>
    <m/>
    <s v="Travel_Rarely"/>
    <n v="799"/>
    <x v="1"/>
    <n v="1"/>
    <n v="3"/>
    <x v="4"/>
    <n v="1"/>
    <n v="623"/>
    <m/>
    <n v="2"/>
    <x v="2"/>
    <x v="3"/>
    <x v="0"/>
    <n v="7491"/>
    <x v="1"/>
    <s v="Jan"/>
  </r>
  <r>
    <n v="46"/>
    <x v="1"/>
    <x v="1"/>
    <m/>
    <m/>
    <s v="Travel_Frequently"/>
    <n v="1034"/>
    <x v="1"/>
    <n v="18"/>
    <n v="1"/>
    <x v="2"/>
    <n v="1"/>
    <n v="624"/>
    <m/>
    <n v="1"/>
    <x v="2"/>
    <x v="4"/>
    <x v="2"/>
    <n v="10527"/>
    <x v="1"/>
    <s v="Jan"/>
  </r>
  <r>
    <n v="41"/>
    <x v="0"/>
    <x v="1"/>
    <m/>
    <m/>
    <s v="Travel_Rarely"/>
    <n v="1276"/>
    <x v="0"/>
    <n v="2"/>
    <n v="5"/>
    <x v="0"/>
    <n v="1"/>
    <n v="625"/>
    <m/>
    <n v="2"/>
    <x v="3"/>
    <x v="5"/>
    <x v="3"/>
    <n v="16595"/>
    <x v="1"/>
    <s v="Jan"/>
  </r>
  <r>
    <n v="37"/>
    <x v="0"/>
    <x v="1"/>
    <m/>
    <m/>
    <s v="Non-Travel"/>
    <n v="142"/>
    <x v="0"/>
    <n v="9"/>
    <n v="4"/>
    <x v="2"/>
    <n v="1"/>
    <n v="626"/>
    <m/>
    <n v="1"/>
    <x v="2"/>
    <x v="0"/>
    <x v="1"/>
    <n v="8834"/>
    <x v="1"/>
    <s v="Jan"/>
  </r>
  <r>
    <n v="52"/>
    <x v="1"/>
    <x v="1"/>
    <m/>
    <m/>
    <s v="Travel_Rarely"/>
    <n v="956"/>
    <x v="1"/>
    <n v="6"/>
    <n v="2"/>
    <x v="4"/>
    <n v="1"/>
    <n v="630"/>
    <m/>
    <n v="4"/>
    <x v="0"/>
    <x v="1"/>
    <x v="3"/>
    <n v="5577"/>
    <x v="0"/>
    <s v="Jan"/>
  </r>
  <r>
    <n v="32"/>
    <x v="2"/>
    <x v="0"/>
    <m/>
    <m/>
    <s v="Non-Travel"/>
    <n v="1474"/>
    <x v="0"/>
    <n v="11"/>
    <n v="4"/>
    <x v="1"/>
    <n v="1"/>
    <n v="631"/>
    <m/>
    <n v="4"/>
    <x v="0"/>
    <x v="0"/>
    <x v="2"/>
    <n v="4707"/>
    <x v="1"/>
    <s v="Jan"/>
  </r>
  <r>
    <n v="24"/>
    <x v="4"/>
    <x v="1"/>
    <m/>
    <m/>
    <s v="Travel_Frequently"/>
    <n v="535"/>
    <x v="0"/>
    <n v="24"/>
    <n v="3"/>
    <x v="2"/>
    <n v="1"/>
    <n v="632"/>
    <m/>
    <n v="4"/>
    <x v="1"/>
    <x v="6"/>
    <x v="0"/>
    <n v="2400"/>
    <x v="1"/>
    <s v="Jan"/>
  </r>
  <r>
    <n v="38"/>
    <x v="0"/>
    <x v="1"/>
    <m/>
    <m/>
    <s v="Travel_Rarely"/>
    <n v="1495"/>
    <x v="1"/>
    <n v="10"/>
    <n v="3"/>
    <x v="2"/>
    <n v="1"/>
    <n v="634"/>
    <m/>
    <n v="3"/>
    <x v="0"/>
    <x v="4"/>
    <x v="2"/>
    <n v="9824"/>
    <x v="1"/>
    <s v="Jan"/>
  </r>
  <r>
    <n v="37"/>
    <x v="0"/>
    <x v="1"/>
    <m/>
    <m/>
    <s v="Travel_Rarely"/>
    <n v="446"/>
    <x v="1"/>
    <n v="1"/>
    <n v="4"/>
    <x v="0"/>
    <n v="1"/>
    <n v="635"/>
    <m/>
    <n v="2"/>
    <x v="0"/>
    <x v="3"/>
    <x v="1"/>
    <n v="6447"/>
    <x v="1"/>
    <s v="Jan"/>
  </r>
  <r>
    <n v="49"/>
    <x v="1"/>
    <x v="1"/>
    <m/>
    <m/>
    <s v="Travel_Rarely"/>
    <n v="1245"/>
    <x v="1"/>
    <n v="18"/>
    <n v="4"/>
    <x v="0"/>
    <n v="1"/>
    <n v="638"/>
    <m/>
    <n v="4"/>
    <x v="4"/>
    <x v="7"/>
    <x v="2"/>
    <n v="19502"/>
    <x v="0"/>
    <s v="Jan"/>
  </r>
  <r>
    <n v="24"/>
    <x v="4"/>
    <x v="1"/>
    <m/>
    <m/>
    <s v="Travel_Rarely"/>
    <n v="691"/>
    <x v="1"/>
    <n v="23"/>
    <n v="3"/>
    <x v="2"/>
    <n v="1"/>
    <n v="639"/>
    <m/>
    <n v="2"/>
    <x v="1"/>
    <x v="1"/>
    <x v="0"/>
    <n v="2725"/>
    <x v="0"/>
    <s v="Jan"/>
  </r>
  <r>
    <n v="26"/>
    <x v="2"/>
    <x v="1"/>
    <m/>
    <m/>
    <s v="Travel_Rarely"/>
    <n v="703"/>
    <x v="0"/>
    <n v="28"/>
    <n v="2"/>
    <x v="3"/>
    <n v="1"/>
    <n v="641"/>
    <m/>
    <n v="1"/>
    <x v="0"/>
    <x v="0"/>
    <x v="1"/>
    <n v="6272"/>
    <x v="1"/>
    <s v="Jan"/>
  </r>
  <r>
    <n v="24"/>
    <x v="4"/>
    <x v="1"/>
    <m/>
    <m/>
    <s v="Travel_Rarely"/>
    <n v="823"/>
    <x v="1"/>
    <n v="17"/>
    <n v="2"/>
    <x v="1"/>
    <n v="1"/>
    <n v="643"/>
    <m/>
    <n v="4"/>
    <x v="1"/>
    <x v="2"/>
    <x v="1"/>
    <n v="2127"/>
    <x v="1"/>
    <s v="Jan"/>
  </r>
  <r>
    <n v="50"/>
    <x v="1"/>
    <x v="1"/>
    <m/>
    <m/>
    <s v="Travel_Frequently"/>
    <n v="1246"/>
    <x v="2"/>
    <n v="3"/>
    <n v="3"/>
    <x v="2"/>
    <n v="1"/>
    <n v="644"/>
    <m/>
    <n v="1"/>
    <x v="4"/>
    <x v="5"/>
    <x v="1"/>
    <n v="18200"/>
    <x v="1"/>
    <s v="Jan"/>
  </r>
  <r>
    <n v="25"/>
    <x v="2"/>
    <x v="1"/>
    <m/>
    <m/>
    <s v="Travel_Rarely"/>
    <n v="622"/>
    <x v="0"/>
    <n v="13"/>
    <n v="1"/>
    <x v="2"/>
    <n v="1"/>
    <n v="645"/>
    <m/>
    <n v="2"/>
    <x v="1"/>
    <x v="6"/>
    <x v="2"/>
    <n v="2096"/>
    <x v="1"/>
    <s v="Jan"/>
  </r>
  <r>
    <n v="24"/>
    <x v="4"/>
    <x v="0"/>
    <m/>
    <m/>
    <s v="Travel_Frequently"/>
    <n v="1287"/>
    <x v="1"/>
    <n v="7"/>
    <n v="3"/>
    <x v="0"/>
    <n v="1"/>
    <n v="647"/>
    <m/>
    <n v="1"/>
    <x v="1"/>
    <x v="2"/>
    <x v="2"/>
    <n v="2886"/>
    <x v="0"/>
    <s v="Jan"/>
  </r>
  <r>
    <n v="30"/>
    <x v="2"/>
    <x v="0"/>
    <m/>
    <m/>
    <s v="Travel_Frequently"/>
    <n v="448"/>
    <x v="0"/>
    <n v="12"/>
    <n v="4"/>
    <x v="0"/>
    <n v="1"/>
    <n v="648"/>
    <m/>
    <n v="2"/>
    <x v="1"/>
    <x v="6"/>
    <x v="3"/>
    <n v="2033"/>
    <x v="1"/>
    <s v="Jan"/>
  </r>
  <r>
    <n v="34"/>
    <x v="2"/>
    <x v="1"/>
    <m/>
    <m/>
    <s v="Travel_Rarely"/>
    <n v="254"/>
    <x v="1"/>
    <n v="1"/>
    <n v="2"/>
    <x v="0"/>
    <n v="1"/>
    <n v="649"/>
    <m/>
    <n v="2"/>
    <x v="1"/>
    <x v="1"/>
    <x v="0"/>
    <n v="3622"/>
    <x v="0"/>
    <s v="Jan"/>
  </r>
  <r>
    <n v="31"/>
    <x v="2"/>
    <x v="0"/>
    <m/>
    <m/>
    <s v="Travel_Rarely"/>
    <n v="1365"/>
    <x v="0"/>
    <n v="13"/>
    <n v="4"/>
    <x v="2"/>
    <n v="1"/>
    <n v="650"/>
    <m/>
    <n v="2"/>
    <x v="0"/>
    <x v="0"/>
    <x v="3"/>
    <n v="4233"/>
    <x v="1"/>
    <s v="Jan"/>
  </r>
  <r>
    <n v="35"/>
    <x v="0"/>
    <x v="1"/>
    <m/>
    <m/>
    <s v="Travel_Rarely"/>
    <n v="538"/>
    <x v="1"/>
    <n v="25"/>
    <n v="2"/>
    <x v="1"/>
    <n v="1"/>
    <n v="652"/>
    <m/>
    <n v="1"/>
    <x v="0"/>
    <x v="2"/>
    <x v="0"/>
    <n v="3681"/>
    <x v="1"/>
    <s v="Jan"/>
  </r>
  <r>
    <n v="31"/>
    <x v="2"/>
    <x v="1"/>
    <m/>
    <m/>
    <s v="Travel_Rarely"/>
    <n v="525"/>
    <x v="0"/>
    <n v="6"/>
    <n v="4"/>
    <x v="2"/>
    <n v="1"/>
    <n v="653"/>
    <m/>
    <n v="1"/>
    <x v="0"/>
    <x v="0"/>
    <x v="0"/>
    <n v="5460"/>
    <x v="1"/>
    <s v="Jan"/>
  </r>
  <r>
    <n v="27"/>
    <x v="2"/>
    <x v="1"/>
    <m/>
    <m/>
    <s v="Travel_Rarely"/>
    <n v="798"/>
    <x v="1"/>
    <n v="6"/>
    <n v="4"/>
    <x v="2"/>
    <n v="1"/>
    <n v="655"/>
    <m/>
    <n v="1"/>
    <x v="1"/>
    <x v="1"/>
    <x v="2"/>
    <n v="2187"/>
    <x v="1"/>
    <s v="Jan"/>
  </r>
  <r>
    <n v="37"/>
    <x v="0"/>
    <x v="1"/>
    <m/>
    <m/>
    <s v="Travel_Rarely"/>
    <n v="558"/>
    <x v="0"/>
    <n v="2"/>
    <n v="3"/>
    <x v="3"/>
    <n v="1"/>
    <n v="656"/>
    <m/>
    <n v="4"/>
    <x v="0"/>
    <x v="0"/>
    <x v="2"/>
    <n v="9602"/>
    <x v="0"/>
    <s v="Jan"/>
  </r>
  <r>
    <n v="20"/>
    <x v="4"/>
    <x v="1"/>
    <m/>
    <m/>
    <s v="Travel_Rarely"/>
    <n v="959"/>
    <x v="1"/>
    <n v="1"/>
    <n v="3"/>
    <x v="0"/>
    <n v="1"/>
    <n v="657"/>
    <m/>
    <n v="4"/>
    <x v="1"/>
    <x v="1"/>
    <x v="1"/>
    <n v="2836"/>
    <x v="1"/>
    <s v="Jan"/>
  </r>
  <r>
    <n v="42"/>
    <x v="0"/>
    <x v="1"/>
    <m/>
    <m/>
    <s v="Travel_Rarely"/>
    <n v="622"/>
    <x v="1"/>
    <n v="2"/>
    <n v="4"/>
    <x v="0"/>
    <n v="1"/>
    <n v="659"/>
    <m/>
    <n v="3"/>
    <x v="0"/>
    <x v="4"/>
    <x v="0"/>
    <n v="4089"/>
    <x v="1"/>
    <s v="Jan"/>
  </r>
  <r>
    <n v="43"/>
    <x v="0"/>
    <x v="1"/>
    <m/>
    <m/>
    <s v="Travel_Rarely"/>
    <n v="782"/>
    <x v="1"/>
    <n v="6"/>
    <n v="4"/>
    <x v="1"/>
    <n v="1"/>
    <n v="661"/>
    <m/>
    <n v="2"/>
    <x v="3"/>
    <x v="7"/>
    <x v="0"/>
    <n v="16627"/>
    <x v="0"/>
    <s v="Jan"/>
  </r>
  <r>
    <n v="38"/>
    <x v="0"/>
    <x v="1"/>
    <m/>
    <m/>
    <s v="Travel_Rarely"/>
    <n v="362"/>
    <x v="1"/>
    <n v="1"/>
    <n v="1"/>
    <x v="0"/>
    <n v="1"/>
    <n v="662"/>
    <m/>
    <n v="3"/>
    <x v="1"/>
    <x v="1"/>
    <x v="3"/>
    <n v="2619"/>
    <x v="1"/>
    <s v="Jan"/>
  </r>
  <r>
    <n v="43"/>
    <x v="0"/>
    <x v="1"/>
    <m/>
    <m/>
    <s v="Travel_Frequently"/>
    <n v="1001"/>
    <x v="1"/>
    <n v="9"/>
    <n v="5"/>
    <x v="2"/>
    <n v="1"/>
    <n v="663"/>
    <m/>
    <n v="4"/>
    <x v="0"/>
    <x v="2"/>
    <x v="2"/>
    <n v="5679"/>
    <x v="0"/>
    <s v="Jan"/>
  </r>
  <r>
    <n v="48"/>
    <x v="1"/>
    <x v="1"/>
    <m/>
    <m/>
    <s v="Travel_Rarely"/>
    <n v="1236"/>
    <x v="1"/>
    <n v="1"/>
    <n v="4"/>
    <x v="0"/>
    <n v="1"/>
    <n v="664"/>
    <m/>
    <n v="4"/>
    <x v="3"/>
    <x v="5"/>
    <x v="3"/>
    <n v="15402"/>
    <x v="1"/>
    <s v="Jan"/>
  </r>
  <r>
    <n v="44"/>
    <x v="0"/>
    <x v="1"/>
    <m/>
    <m/>
    <s v="Travel_Rarely"/>
    <n v="1112"/>
    <x v="2"/>
    <n v="1"/>
    <n v="4"/>
    <x v="0"/>
    <n v="1"/>
    <n v="665"/>
    <m/>
    <n v="1"/>
    <x v="0"/>
    <x v="8"/>
    <x v="2"/>
    <n v="5985"/>
    <x v="1"/>
    <s v="Jan"/>
  </r>
  <r>
    <n v="34"/>
    <x v="2"/>
    <x v="1"/>
    <m/>
    <m/>
    <s v="Travel_Rarely"/>
    <n v="204"/>
    <x v="0"/>
    <n v="14"/>
    <n v="3"/>
    <x v="4"/>
    <n v="1"/>
    <n v="666"/>
    <m/>
    <n v="3"/>
    <x v="1"/>
    <x v="6"/>
    <x v="2"/>
    <n v="2579"/>
    <x v="0"/>
    <s v="Jan"/>
  </r>
  <r>
    <n v="27"/>
    <x v="2"/>
    <x v="0"/>
    <m/>
    <m/>
    <s v="Travel_Rarely"/>
    <n v="1420"/>
    <x v="0"/>
    <n v="2"/>
    <n v="1"/>
    <x v="3"/>
    <n v="1"/>
    <n v="667"/>
    <m/>
    <n v="3"/>
    <x v="1"/>
    <x v="6"/>
    <x v="3"/>
    <n v="3041"/>
    <x v="1"/>
    <s v="Jan"/>
  </r>
  <r>
    <n v="21"/>
    <x v="4"/>
    <x v="1"/>
    <m/>
    <m/>
    <s v="Travel_Rarely"/>
    <n v="1343"/>
    <x v="0"/>
    <n v="22"/>
    <n v="1"/>
    <x v="4"/>
    <n v="1"/>
    <n v="669"/>
    <m/>
    <n v="3"/>
    <x v="1"/>
    <x v="6"/>
    <x v="2"/>
    <n v="3447"/>
    <x v="1"/>
    <s v="Jan"/>
  </r>
  <r>
    <n v="44"/>
    <x v="0"/>
    <x v="1"/>
    <m/>
    <m/>
    <s v="Travel_Rarely"/>
    <n v="1315"/>
    <x v="1"/>
    <n v="3"/>
    <n v="4"/>
    <x v="1"/>
    <n v="1"/>
    <n v="671"/>
    <m/>
    <n v="4"/>
    <x v="4"/>
    <x v="5"/>
    <x v="0"/>
    <n v="19513"/>
    <x v="0"/>
    <s v="Jan"/>
  </r>
  <r>
    <n v="22"/>
    <x v="4"/>
    <x v="1"/>
    <m/>
    <m/>
    <s v="Travel_Rarely"/>
    <n v="604"/>
    <x v="1"/>
    <n v="6"/>
    <n v="1"/>
    <x v="2"/>
    <n v="1"/>
    <n v="675"/>
    <m/>
    <n v="1"/>
    <x v="1"/>
    <x v="1"/>
    <x v="2"/>
    <n v="2773"/>
    <x v="1"/>
    <s v="Jan"/>
  </r>
  <r>
    <n v="33"/>
    <x v="2"/>
    <x v="1"/>
    <m/>
    <m/>
    <s v="Travel_Rarely"/>
    <n v="1216"/>
    <x v="0"/>
    <n v="8"/>
    <n v="4"/>
    <x v="3"/>
    <n v="1"/>
    <n v="677"/>
    <m/>
    <n v="3"/>
    <x v="0"/>
    <x v="0"/>
    <x v="2"/>
    <n v="7104"/>
    <x v="1"/>
    <s v="Jan"/>
  </r>
  <r>
    <n v="32"/>
    <x v="2"/>
    <x v="1"/>
    <m/>
    <m/>
    <s v="Travel_Rarely"/>
    <n v="646"/>
    <x v="1"/>
    <n v="9"/>
    <n v="4"/>
    <x v="0"/>
    <n v="1"/>
    <n v="679"/>
    <m/>
    <n v="1"/>
    <x v="0"/>
    <x v="1"/>
    <x v="0"/>
    <n v="6322"/>
    <x v="0"/>
    <s v="Jan"/>
  </r>
  <r>
    <n v="30"/>
    <x v="2"/>
    <x v="1"/>
    <m/>
    <m/>
    <s v="Travel_Frequently"/>
    <n v="160"/>
    <x v="1"/>
    <n v="3"/>
    <n v="3"/>
    <x v="2"/>
    <n v="1"/>
    <n v="680"/>
    <m/>
    <n v="3"/>
    <x v="1"/>
    <x v="1"/>
    <x v="2"/>
    <n v="2083"/>
    <x v="1"/>
    <s v="Jan"/>
  </r>
  <r>
    <n v="53"/>
    <x v="1"/>
    <x v="1"/>
    <m/>
    <m/>
    <s v="Travel_Rarely"/>
    <n v="238"/>
    <x v="0"/>
    <n v="1"/>
    <n v="1"/>
    <x v="2"/>
    <n v="1"/>
    <n v="682"/>
    <m/>
    <n v="4"/>
    <x v="0"/>
    <x v="0"/>
    <x v="3"/>
    <n v="8381"/>
    <x v="1"/>
    <s v="Jan"/>
  </r>
  <r>
    <n v="34"/>
    <x v="2"/>
    <x v="1"/>
    <m/>
    <m/>
    <s v="Travel_Rarely"/>
    <n v="1397"/>
    <x v="1"/>
    <n v="1"/>
    <n v="5"/>
    <x v="0"/>
    <n v="1"/>
    <n v="683"/>
    <m/>
    <n v="2"/>
    <x v="1"/>
    <x v="1"/>
    <x v="0"/>
    <n v="2691"/>
    <x v="1"/>
    <s v="Jan"/>
  </r>
  <r>
    <n v="45"/>
    <x v="1"/>
    <x v="0"/>
    <m/>
    <m/>
    <s v="Travel_Frequently"/>
    <n v="306"/>
    <x v="0"/>
    <n v="26"/>
    <n v="4"/>
    <x v="0"/>
    <n v="1"/>
    <n v="684"/>
    <m/>
    <n v="1"/>
    <x v="0"/>
    <x v="0"/>
    <x v="3"/>
    <n v="4286"/>
    <x v="1"/>
    <s v="Jan"/>
  </r>
  <r>
    <n v="26"/>
    <x v="2"/>
    <x v="1"/>
    <m/>
    <m/>
    <s v="Travel_Rarely"/>
    <n v="991"/>
    <x v="1"/>
    <n v="6"/>
    <n v="3"/>
    <x v="0"/>
    <n v="1"/>
    <n v="686"/>
    <m/>
    <n v="3"/>
    <x v="1"/>
    <x v="2"/>
    <x v="0"/>
    <n v="2659"/>
    <x v="0"/>
    <s v="Jan"/>
  </r>
  <r>
    <n v="37"/>
    <x v="0"/>
    <x v="1"/>
    <m/>
    <m/>
    <s v="Travel_Rarely"/>
    <n v="482"/>
    <x v="1"/>
    <n v="3"/>
    <n v="3"/>
    <x v="1"/>
    <n v="1"/>
    <n v="689"/>
    <m/>
    <n v="3"/>
    <x v="2"/>
    <x v="3"/>
    <x v="2"/>
    <n v="9434"/>
    <x v="1"/>
    <s v="Jan"/>
  </r>
  <r>
    <n v="29"/>
    <x v="2"/>
    <x v="1"/>
    <m/>
    <m/>
    <s v="Travel_Rarely"/>
    <n v="1176"/>
    <x v="0"/>
    <n v="3"/>
    <n v="2"/>
    <x v="2"/>
    <n v="1"/>
    <n v="690"/>
    <m/>
    <n v="2"/>
    <x v="0"/>
    <x v="0"/>
    <x v="2"/>
    <n v="5561"/>
    <x v="1"/>
    <s v="Jan"/>
  </r>
  <r>
    <n v="35"/>
    <x v="0"/>
    <x v="1"/>
    <m/>
    <m/>
    <s v="Travel_Rarely"/>
    <n v="1017"/>
    <x v="1"/>
    <n v="6"/>
    <n v="4"/>
    <x v="0"/>
    <n v="1"/>
    <n v="691"/>
    <m/>
    <n v="2"/>
    <x v="0"/>
    <x v="1"/>
    <x v="0"/>
    <n v="6646"/>
    <x v="1"/>
    <s v="Jan"/>
  </r>
  <r>
    <n v="33"/>
    <x v="2"/>
    <x v="1"/>
    <m/>
    <m/>
    <s v="Travel_Frequently"/>
    <n v="1296"/>
    <x v="1"/>
    <n v="6"/>
    <n v="3"/>
    <x v="0"/>
    <n v="1"/>
    <n v="692"/>
    <m/>
    <n v="3"/>
    <x v="0"/>
    <x v="4"/>
    <x v="0"/>
    <n v="7725"/>
    <x v="1"/>
    <s v="Jan"/>
  </r>
  <r>
    <n v="54"/>
    <x v="1"/>
    <x v="1"/>
    <m/>
    <m/>
    <s v="Travel_Rarely"/>
    <n v="397"/>
    <x v="2"/>
    <n v="19"/>
    <n v="4"/>
    <x v="2"/>
    <n v="1"/>
    <n v="698"/>
    <m/>
    <n v="3"/>
    <x v="2"/>
    <x v="8"/>
    <x v="1"/>
    <n v="10725"/>
    <x v="1"/>
    <s v="Jan"/>
  </r>
  <r>
    <n v="36"/>
    <x v="0"/>
    <x v="1"/>
    <m/>
    <m/>
    <s v="Travel_Rarely"/>
    <n v="913"/>
    <x v="1"/>
    <n v="9"/>
    <n v="2"/>
    <x v="2"/>
    <n v="1"/>
    <n v="699"/>
    <m/>
    <n v="2"/>
    <x v="0"/>
    <x v="3"/>
    <x v="1"/>
    <n v="8847"/>
    <x v="0"/>
    <s v="Jan"/>
  </r>
  <r>
    <n v="27"/>
    <x v="2"/>
    <x v="1"/>
    <m/>
    <m/>
    <s v="Travel_Rarely"/>
    <n v="1115"/>
    <x v="1"/>
    <n v="3"/>
    <n v="4"/>
    <x v="2"/>
    <n v="1"/>
    <n v="700"/>
    <m/>
    <n v="1"/>
    <x v="1"/>
    <x v="1"/>
    <x v="0"/>
    <n v="2045"/>
    <x v="1"/>
    <s v="Jan"/>
  </r>
  <r>
    <n v="20"/>
    <x v="4"/>
    <x v="0"/>
    <m/>
    <m/>
    <s v="Travel_Rarely"/>
    <n v="1362"/>
    <x v="1"/>
    <n v="10"/>
    <n v="1"/>
    <x v="2"/>
    <n v="1"/>
    <n v="701"/>
    <m/>
    <n v="4"/>
    <x v="1"/>
    <x v="1"/>
    <x v="2"/>
    <n v="1009"/>
    <x v="0"/>
    <s v="Jan"/>
  </r>
  <r>
    <n v="33"/>
    <x v="2"/>
    <x v="0"/>
    <m/>
    <m/>
    <s v="Travel_Frequently"/>
    <n v="1076"/>
    <x v="1"/>
    <n v="3"/>
    <n v="3"/>
    <x v="0"/>
    <n v="1"/>
    <n v="702"/>
    <m/>
    <n v="1"/>
    <x v="1"/>
    <x v="1"/>
    <x v="3"/>
    <n v="3348"/>
    <x v="0"/>
    <s v="Jan"/>
  </r>
  <r>
    <n v="35"/>
    <x v="0"/>
    <x v="1"/>
    <m/>
    <m/>
    <s v="Non-Travel"/>
    <n v="727"/>
    <x v="1"/>
    <n v="3"/>
    <n v="3"/>
    <x v="0"/>
    <n v="1"/>
    <n v="704"/>
    <m/>
    <n v="3"/>
    <x v="1"/>
    <x v="2"/>
    <x v="2"/>
    <n v="1281"/>
    <x v="1"/>
    <s v="Jan"/>
  </r>
  <r>
    <n v="23"/>
    <x v="4"/>
    <x v="1"/>
    <m/>
    <m/>
    <s v="Travel_Rarely"/>
    <n v="885"/>
    <x v="1"/>
    <n v="4"/>
    <n v="3"/>
    <x v="2"/>
    <n v="1"/>
    <n v="705"/>
    <m/>
    <n v="1"/>
    <x v="1"/>
    <x v="1"/>
    <x v="3"/>
    <n v="2819"/>
    <x v="1"/>
    <s v="Jan"/>
  </r>
  <r>
    <n v="25"/>
    <x v="2"/>
    <x v="1"/>
    <m/>
    <m/>
    <s v="Travel_Rarely"/>
    <n v="810"/>
    <x v="0"/>
    <n v="8"/>
    <n v="3"/>
    <x v="0"/>
    <n v="1"/>
    <n v="707"/>
    <m/>
    <n v="4"/>
    <x v="0"/>
    <x v="0"/>
    <x v="1"/>
    <n v="4851"/>
    <x v="1"/>
    <s v="Jan"/>
  </r>
  <r>
    <n v="38"/>
    <x v="0"/>
    <x v="1"/>
    <m/>
    <m/>
    <s v="Travel_Rarely"/>
    <n v="243"/>
    <x v="0"/>
    <n v="7"/>
    <n v="4"/>
    <x v="3"/>
    <n v="1"/>
    <n v="709"/>
    <m/>
    <n v="4"/>
    <x v="0"/>
    <x v="0"/>
    <x v="0"/>
    <n v="4028"/>
    <x v="1"/>
    <s v="Jan"/>
  </r>
  <r>
    <n v="29"/>
    <x v="2"/>
    <x v="1"/>
    <m/>
    <m/>
    <s v="Travel_Frequently"/>
    <n v="806"/>
    <x v="1"/>
    <n v="1"/>
    <n v="4"/>
    <x v="0"/>
    <n v="1"/>
    <n v="710"/>
    <m/>
    <n v="2"/>
    <x v="1"/>
    <x v="1"/>
    <x v="0"/>
    <n v="2720"/>
    <x v="1"/>
    <s v="Jan"/>
  </r>
  <r>
    <n v="48"/>
    <x v="1"/>
    <x v="1"/>
    <m/>
    <m/>
    <s v="Travel_Rarely"/>
    <n v="817"/>
    <x v="0"/>
    <n v="2"/>
    <n v="1"/>
    <x v="3"/>
    <n v="1"/>
    <n v="712"/>
    <m/>
    <n v="2"/>
    <x v="0"/>
    <x v="0"/>
    <x v="1"/>
    <n v="8120"/>
    <x v="1"/>
    <s v="Jan"/>
  </r>
  <r>
    <n v="27"/>
    <x v="2"/>
    <x v="1"/>
    <m/>
    <m/>
    <s v="Travel_Frequently"/>
    <n v="1410"/>
    <x v="0"/>
    <n v="3"/>
    <n v="1"/>
    <x v="2"/>
    <n v="1"/>
    <n v="714"/>
    <m/>
    <n v="4"/>
    <x v="0"/>
    <x v="0"/>
    <x v="0"/>
    <n v="4647"/>
    <x v="0"/>
    <s v="Jan"/>
  </r>
  <r>
    <n v="37"/>
    <x v="0"/>
    <x v="1"/>
    <m/>
    <m/>
    <s v="Travel_Rarely"/>
    <n v="1225"/>
    <x v="1"/>
    <n v="10"/>
    <n v="2"/>
    <x v="0"/>
    <n v="1"/>
    <n v="715"/>
    <m/>
    <n v="4"/>
    <x v="1"/>
    <x v="1"/>
    <x v="0"/>
    <n v="4680"/>
    <x v="1"/>
    <s v="Jan"/>
  </r>
  <r>
    <n v="50"/>
    <x v="1"/>
    <x v="1"/>
    <m/>
    <m/>
    <s v="Travel_Rarely"/>
    <n v="1207"/>
    <x v="1"/>
    <n v="28"/>
    <n v="1"/>
    <x v="2"/>
    <n v="1"/>
    <n v="716"/>
    <m/>
    <n v="4"/>
    <x v="1"/>
    <x v="2"/>
    <x v="2"/>
    <n v="3221"/>
    <x v="0"/>
    <s v="Jan"/>
  </r>
  <r>
    <n v="34"/>
    <x v="2"/>
    <x v="1"/>
    <m/>
    <m/>
    <s v="Travel_Rarely"/>
    <n v="1442"/>
    <x v="1"/>
    <n v="9"/>
    <n v="3"/>
    <x v="2"/>
    <n v="1"/>
    <n v="717"/>
    <m/>
    <n v="4"/>
    <x v="2"/>
    <x v="4"/>
    <x v="1"/>
    <n v="8621"/>
    <x v="1"/>
    <s v="Jan"/>
  </r>
  <r>
    <n v="24"/>
    <x v="4"/>
    <x v="0"/>
    <m/>
    <m/>
    <s v="Travel_Rarely"/>
    <n v="693"/>
    <x v="0"/>
    <n v="3"/>
    <n v="2"/>
    <x v="0"/>
    <n v="1"/>
    <n v="720"/>
    <m/>
    <n v="1"/>
    <x v="0"/>
    <x v="0"/>
    <x v="2"/>
    <n v="4577"/>
    <x v="1"/>
    <s v="Jan"/>
  </r>
  <r>
    <n v="39"/>
    <x v="0"/>
    <x v="1"/>
    <m/>
    <m/>
    <s v="Travel_Rarely"/>
    <n v="408"/>
    <x v="1"/>
    <n v="2"/>
    <n v="4"/>
    <x v="4"/>
    <n v="1"/>
    <n v="721"/>
    <m/>
    <n v="4"/>
    <x v="0"/>
    <x v="4"/>
    <x v="2"/>
    <n v="4553"/>
    <x v="1"/>
    <s v="Jan"/>
  </r>
  <r>
    <n v="32"/>
    <x v="2"/>
    <x v="1"/>
    <m/>
    <m/>
    <s v="Travel_Rarely"/>
    <n v="929"/>
    <x v="0"/>
    <n v="10"/>
    <n v="3"/>
    <x v="3"/>
    <n v="1"/>
    <n v="722"/>
    <m/>
    <n v="4"/>
    <x v="0"/>
    <x v="0"/>
    <x v="0"/>
    <n v="5396"/>
    <x v="1"/>
    <s v="Jan"/>
  </r>
  <r>
    <n v="50"/>
    <x v="1"/>
    <x v="0"/>
    <m/>
    <m/>
    <s v="Travel_Frequently"/>
    <n v="562"/>
    <x v="0"/>
    <n v="8"/>
    <n v="2"/>
    <x v="4"/>
    <n v="1"/>
    <n v="723"/>
    <m/>
    <n v="2"/>
    <x v="0"/>
    <x v="0"/>
    <x v="2"/>
    <n v="6796"/>
    <x v="0"/>
    <s v="Jan"/>
  </r>
  <r>
    <n v="38"/>
    <x v="0"/>
    <x v="1"/>
    <m/>
    <m/>
    <s v="Travel_Rarely"/>
    <n v="827"/>
    <x v="1"/>
    <n v="1"/>
    <n v="4"/>
    <x v="0"/>
    <n v="1"/>
    <n v="724"/>
    <m/>
    <n v="2"/>
    <x v="0"/>
    <x v="4"/>
    <x v="0"/>
    <n v="7625"/>
    <x v="1"/>
    <s v="Jan"/>
  </r>
  <r>
    <n v="27"/>
    <x v="2"/>
    <x v="1"/>
    <m/>
    <m/>
    <s v="Travel_Rarely"/>
    <n v="608"/>
    <x v="1"/>
    <n v="1"/>
    <n v="2"/>
    <x v="0"/>
    <n v="1"/>
    <n v="725"/>
    <m/>
    <n v="3"/>
    <x v="2"/>
    <x v="3"/>
    <x v="3"/>
    <n v="7412"/>
    <x v="1"/>
    <s v="Jan"/>
  </r>
  <r>
    <n v="32"/>
    <x v="2"/>
    <x v="1"/>
    <m/>
    <m/>
    <s v="Travel_Rarely"/>
    <n v="1018"/>
    <x v="1"/>
    <n v="3"/>
    <n v="2"/>
    <x v="0"/>
    <n v="1"/>
    <n v="727"/>
    <m/>
    <n v="3"/>
    <x v="2"/>
    <x v="7"/>
    <x v="0"/>
    <n v="11159"/>
    <x v="1"/>
    <s v="Jan"/>
  </r>
  <r>
    <n v="47"/>
    <x v="1"/>
    <x v="1"/>
    <m/>
    <m/>
    <s v="Travel_Rarely"/>
    <n v="703"/>
    <x v="0"/>
    <n v="14"/>
    <n v="4"/>
    <x v="3"/>
    <n v="1"/>
    <n v="728"/>
    <m/>
    <n v="4"/>
    <x v="0"/>
    <x v="0"/>
    <x v="3"/>
    <n v="4960"/>
    <x v="1"/>
    <s v="Jan"/>
  </r>
  <r>
    <n v="40"/>
    <x v="0"/>
    <x v="1"/>
    <m/>
    <m/>
    <s v="Travel_Frequently"/>
    <n v="580"/>
    <x v="0"/>
    <n v="5"/>
    <n v="4"/>
    <x v="0"/>
    <n v="1"/>
    <n v="729"/>
    <m/>
    <n v="4"/>
    <x v="2"/>
    <x v="0"/>
    <x v="3"/>
    <n v="10475"/>
    <x v="0"/>
    <s v="Jan"/>
  </r>
  <r>
    <n v="53"/>
    <x v="1"/>
    <x v="1"/>
    <m/>
    <m/>
    <s v="Travel_Rarely"/>
    <n v="970"/>
    <x v="1"/>
    <n v="7"/>
    <n v="3"/>
    <x v="0"/>
    <n v="1"/>
    <n v="730"/>
    <m/>
    <n v="3"/>
    <x v="3"/>
    <x v="7"/>
    <x v="2"/>
    <n v="14814"/>
    <x v="1"/>
    <s v="Jan"/>
  </r>
  <r>
    <n v="41"/>
    <x v="0"/>
    <x v="1"/>
    <m/>
    <m/>
    <s v="Travel_Rarely"/>
    <n v="427"/>
    <x v="2"/>
    <n v="10"/>
    <n v="4"/>
    <x v="5"/>
    <n v="1"/>
    <n v="731"/>
    <m/>
    <n v="2"/>
    <x v="4"/>
    <x v="5"/>
    <x v="0"/>
    <n v="19141"/>
    <x v="1"/>
    <s v="Jan"/>
  </r>
  <r>
    <n v="60"/>
    <x v="3"/>
    <x v="1"/>
    <m/>
    <m/>
    <s v="Travel_Rarely"/>
    <n v="1179"/>
    <x v="0"/>
    <n v="16"/>
    <n v="4"/>
    <x v="3"/>
    <n v="1"/>
    <n v="732"/>
    <m/>
    <n v="1"/>
    <x v="0"/>
    <x v="0"/>
    <x v="3"/>
    <n v="5405"/>
    <x v="1"/>
    <s v="Jan"/>
  </r>
  <r>
    <n v="27"/>
    <x v="2"/>
    <x v="1"/>
    <m/>
    <m/>
    <s v="Travel_Frequently"/>
    <n v="294"/>
    <x v="1"/>
    <n v="10"/>
    <n v="2"/>
    <x v="0"/>
    <n v="1"/>
    <n v="733"/>
    <m/>
    <n v="4"/>
    <x v="2"/>
    <x v="3"/>
    <x v="3"/>
    <n v="8793"/>
    <x v="1"/>
    <s v="Jan"/>
  </r>
  <r>
    <n v="41"/>
    <x v="0"/>
    <x v="1"/>
    <m/>
    <m/>
    <s v="Travel_Rarely"/>
    <n v="314"/>
    <x v="2"/>
    <n v="1"/>
    <n v="3"/>
    <x v="5"/>
    <n v="1"/>
    <n v="734"/>
    <m/>
    <n v="4"/>
    <x v="4"/>
    <x v="5"/>
    <x v="2"/>
    <n v="19189"/>
    <x v="1"/>
    <s v="Jan"/>
  </r>
  <r>
    <n v="50"/>
    <x v="1"/>
    <x v="1"/>
    <m/>
    <m/>
    <s v="Travel_Rarely"/>
    <n v="316"/>
    <x v="0"/>
    <n v="8"/>
    <n v="4"/>
    <x v="3"/>
    <n v="1"/>
    <n v="738"/>
    <m/>
    <n v="4"/>
    <x v="1"/>
    <x v="6"/>
    <x v="1"/>
    <n v="3875"/>
    <x v="1"/>
    <s v="Jan"/>
  </r>
  <r>
    <n v="28"/>
    <x v="2"/>
    <x v="0"/>
    <m/>
    <m/>
    <s v="Travel_Rarely"/>
    <n v="654"/>
    <x v="1"/>
    <n v="1"/>
    <n v="2"/>
    <x v="0"/>
    <n v="1"/>
    <n v="741"/>
    <m/>
    <n v="1"/>
    <x v="1"/>
    <x v="1"/>
    <x v="1"/>
    <n v="2216"/>
    <x v="0"/>
    <s v="Jan"/>
  </r>
  <r>
    <n v="36"/>
    <x v="0"/>
    <x v="1"/>
    <m/>
    <m/>
    <s v="Non-Travel"/>
    <n v="427"/>
    <x v="1"/>
    <n v="8"/>
    <n v="3"/>
    <x v="0"/>
    <n v="1"/>
    <n v="742"/>
    <m/>
    <n v="1"/>
    <x v="2"/>
    <x v="7"/>
    <x v="3"/>
    <n v="11713"/>
    <x v="1"/>
    <s v="Jan"/>
  </r>
  <r>
    <n v="38"/>
    <x v="0"/>
    <x v="1"/>
    <m/>
    <m/>
    <s v="Travel_Rarely"/>
    <n v="168"/>
    <x v="1"/>
    <n v="1"/>
    <n v="3"/>
    <x v="0"/>
    <n v="1"/>
    <n v="743"/>
    <m/>
    <n v="3"/>
    <x v="2"/>
    <x v="3"/>
    <x v="2"/>
    <n v="7861"/>
    <x v="0"/>
    <s v="Jan"/>
  </r>
  <r>
    <n v="44"/>
    <x v="0"/>
    <x v="1"/>
    <m/>
    <m/>
    <s v="Non-Travel"/>
    <n v="381"/>
    <x v="1"/>
    <n v="24"/>
    <n v="3"/>
    <x v="2"/>
    <n v="1"/>
    <n v="744"/>
    <m/>
    <n v="1"/>
    <x v="1"/>
    <x v="2"/>
    <x v="2"/>
    <n v="3708"/>
    <x v="1"/>
    <s v="Jan"/>
  </r>
  <r>
    <n v="47"/>
    <x v="1"/>
    <x v="1"/>
    <m/>
    <m/>
    <s v="Travel_Frequently"/>
    <n v="217"/>
    <x v="0"/>
    <n v="3"/>
    <n v="3"/>
    <x v="2"/>
    <n v="1"/>
    <n v="746"/>
    <m/>
    <n v="4"/>
    <x v="3"/>
    <x v="0"/>
    <x v="2"/>
    <n v="13770"/>
    <x v="0"/>
    <s v="Jan"/>
  </r>
  <r>
    <n v="30"/>
    <x v="2"/>
    <x v="1"/>
    <m/>
    <m/>
    <s v="Travel_Rarely"/>
    <n v="501"/>
    <x v="0"/>
    <n v="27"/>
    <n v="5"/>
    <x v="3"/>
    <n v="1"/>
    <n v="747"/>
    <m/>
    <n v="3"/>
    <x v="0"/>
    <x v="0"/>
    <x v="0"/>
    <n v="5304"/>
    <x v="1"/>
    <s v="Jan"/>
  </r>
  <r>
    <n v="29"/>
    <x v="2"/>
    <x v="1"/>
    <m/>
    <m/>
    <s v="Travel_Rarely"/>
    <n v="1396"/>
    <x v="0"/>
    <n v="10"/>
    <n v="3"/>
    <x v="0"/>
    <n v="1"/>
    <n v="749"/>
    <m/>
    <n v="3"/>
    <x v="1"/>
    <x v="6"/>
    <x v="2"/>
    <n v="2642"/>
    <x v="1"/>
    <s v="Jan"/>
  </r>
  <r>
    <n v="42"/>
    <x v="0"/>
    <x v="0"/>
    <m/>
    <m/>
    <s v="Travel_Frequently"/>
    <n v="933"/>
    <x v="1"/>
    <n v="19"/>
    <n v="3"/>
    <x v="2"/>
    <n v="1"/>
    <n v="752"/>
    <m/>
    <n v="3"/>
    <x v="1"/>
    <x v="1"/>
    <x v="2"/>
    <n v="2759"/>
    <x v="0"/>
    <s v="Jan"/>
  </r>
  <r>
    <n v="43"/>
    <x v="0"/>
    <x v="1"/>
    <m/>
    <m/>
    <s v="Travel_Frequently"/>
    <n v="775"/>
    <x v="0"/>
    <n v="15"/>
    <n v="3"/>
    <x v="0"/>
    <n v="1"/>
    <n v="754"/>
    <m/>
    <n v="4"/>
    <x v="0"/>
    <x v="0"/>
    <x v="0"/>
    <n v="6804"/>
    <x v="1"/>
    <s v="Jan"/>
  </r>
  <r>
    <n v="34"/>
    <x v="2"/>
    <x v="1"/>
    <m/>
    <m/>
    <s v="Travel_Rarely"/>
    <n v="970"/>
    <x v="1"/>
    <n v="8"/>
    <n v="2"/>
    <x v="2"/>
    <n v="1"/>
    <n v="757"/>
    <m/>
    <n v="2"/>
    <x v="0"/>
    <x v="4"/>
    <x v="2"/>
    <n v="6142"/>
    <x v="1"/>
    <s v="Jan"/>
  </r>
  <r>
    <n v="23"/>
    <x v="4"/>
    <x v="1"/>
    <m/>
    <m/>
    <s v="Travel_Rarely"/>
    <n v="650"/>
    <x v="1"/>
    <n v="9"/>
    <n v="1"/>
    <x v="2"/>
    <n v="1"/>
    <n v="758"/>
    <m/>
    <n v="2"/>
    <x v="1"/>
    <x v="2"/>
    <x v="3"/>
    <n v="2500"/>
    <x v="1"/>
    <s v="Jan"/>
  </r>
  <r>
    <n v="39"/>
    <x v="0"/>
    <x v="1"/>
    <m/>
    <m/>
    <s v="Travel_Rarely"/>
    <n v="141"/>
    <x v="2"/>
    <n v="3"/>
    <n v="3"/>
    <x v="5"/>
    <n v="1"/>
    <n v="760"/>
    <m/>
    <n v="3"/>
    <x v="0"/>
    <x v="8"/>
    <x v="1"/>
    <n v="6389"/>
    <x v="1"/>
    <s v="Jan"/>
  </r>
  <r>
    <n v="56"/>
    <x v="3"/>
    <x v="1"/>
    <m/>
    <m/>
    <s v="Travel_Rarely"/>
    <n v="832"/>
    <x v="1"/>
    <n v="9"/>
    <n v="3"/>
    <x v="2"/>
    <n v="1"/>
    <n v="762"/>
    <m/>
    <n v="3"/>
    <x v="3"/>
    <x v="4"/>
    <x v="0"/>
    <n v="11103"/>
    <x v="1"/>
    <s v="Jan"/>
  </r>
  <r>
    <n v="40"/>
    <x v="0"/>
    <x v="1"/>
    <m/>
    <m/>
    <s v="Travel_Rarely"/>
    <n v="804"/>
    <x v="1"/>
    <n v="2"/>
    <n v="1"/>
    <x v="2"/>
    <n v="1"/>
    <n v="763"/>
    <m/>
    <n v="4"/>
    <x v="1"/>
    <x v="1"/>
    <x v="0"/>
    <n v="2342"/>
    <x v="0"/>
    <s v="Jan"/>
  </r>
  <r>
    <n v="27"/>
    <x v="2"/>
    <x v="1"/>
    <m/>
    <m/>
    <s v="Travel_Rarely"/>
    <n v="975"/>
    <x v="1"/>
    <n v="7"/>
    <n v="3"/>
    <x v="2"/>
    <n v="1"/>
    <n v="764"/>
    <m/>
    <n v="4"/>
    <x v="0"/>
    <x v="4"/>
    <x v="3"/>
    <n v="6811"/>
    <x v="1"/>
    <s v="Jan"/>
  </r>
  <r>
    <n v="29"/>
    <x v="2"/>
    <x v="1"/>
    <m/>
    <m/>
    <s v="Travel_Rarely"/>
    <n v="1090"/>
    <x v="0"/>
    <n v="10"/>
    <n v="3"/>
    <x v="3"/>
    <n v="1"/>
    <n v="766"/>
    <m/>
    <n v="4"/>
    <x v="1"/>
    <x v="6"/>
    <x v="1"/>
    <n v="2297"/>
    <x v="1"/>
    <s v="Jan"/>
  </r>
  <r>
    <n v="53"/>
    <x v="1"/>
    <x v="1"/>
    <m/>
    <m/>
    <s v="Travel_Rarely"/>
    <n v="346"/>
    <x v="1"/>
    <n v="6"/>
    <n v="3"/>
    <x v="0"/>
    <n v="1"/>
    <n v="769"/>
    <m/>
    <n v="4"/>
    <x v="0"/>
    <x v="2"/>
    <x v="0"/>
    <n v="2450"/>
    <x v="1"/>
    <s v="Jan"/>
  </r>
  <r>
    <n v="35"/>
    <x v="0"/>
    <x v="1"/>
    <m/>
    <m/>
    <s v="Non-Travel"/>
    <n v="1225"/>
    <x v="1"/>
    <n v="2"/>
    <n v="4"/>
    <x v="0"/>
    <n v="1"/>
    <n v="771"/>
    <m/>
    <n v="4"/>
    <x v="0"/>
    <x v="4"/>
    <x v="3"/>
    <n v="5093"/>
    <x v="1"/>
    <s v="Jan"/>
  </r>
  <r>
    <n v="32"/>
    <x v="2"/>
    <x v="1"/>
    <m/>
    <m/>
    <s v="Travel_Frequently"/>
    <n v="430"/>
    <x v="1"/>
    <n v="24"/>
    <n v="4"/>
    <x v="0"/>
    <n v="1"/>
    <n v="772"/>
    <m/>
    <n v="1"/>
    <x v="0"/>
    <x v="2"/>
    <x v="0"/>
    <n v="5309"/>
    <x v="1"/>
    <s v="Jan"/>
  </r>
  <r>
    <n v="38"/>
    <x v="0"/>
    <x v="1"/>
    <m/>
    <m/>
    <s v="Travel_Rarely"/>
    <n v="268"/>
    <x v="1"/>
    <n v="2"/>
    <n v="5"/>
    <x v="2"/>
    <n v="1"/>
    <n v="773"/>
    <m/>
    <n v="4"/>
    <x v="1"/>
    <x v="1"/>
    <x v="2"/>
    <n v="3057"/>
    <x v="0"/>
    <s v="Jan"/>
  </r>
  <r>
    <n v="34"/>
    <x v="2"/>
    <x v="1"/>
    <m/>
    <m/>
    <s v="Travel_Rarely"/>
    <n v="167"/>
    <x v="1"/>
    <n v="8"/>
    <n v="5"/>
    <x v="0"/>
    <n v="1"/>
    <n v="775"/>
    <m/>
    <n v="2"/>
    <x v="0"/>
    <x v="3"/>
    <x v="3"/>
    <n v="5121"/>
    <x v="1"/>
    <s v="Jan"/>
  </r>
  <r>
    <n v="52"/>
    <x v="1"/>
    <x v="1"/>
    <m/>
    <m/>
    <s v="Travel_Rarely"/>
    <n v="621"/>
    <x v="0"/>
    <n v="3"/>
    <n v="4"/>
    <x v="3"/>
    <n v="1"/>
    <n v="776"/>
    <m/>
    <n v="3"/>
    <x v="3"/>
    <x v="5"/>
    <x v="3"/>
    <n v="16856"/>
    <x v="1"/>
    <s v="Jan"/>
  </r>
  <r>
    <n v="33"/>
    <x v="2"/>
    <x v="0"/>
    <m/>
    <m/>
    <s v="Travel_Rarely"/>
    <n v="527"/>
    <x v="1"/>
    <n v="1"/>
    <n v="4"/>
    <x v="1"/>
    <n v="1"/>
    <n v="780"/>
    <m/>
    <n v="4"/>
    <x v="1"/>
    <x v="1"/>
    <x v="0"/>
    <n v="2686"/>
    <x v="0"/>
    <s v="Jan"/>
  </r>
  <r>
    <n v="25"/>
    <x v="2"/>
    <x v="1"/>
    <m/>
    <m/>
    <s v="Travel_Rarely"/>
    <n v="883"/>
    <x v="0"/>
    <n v="26"/>
    <n v="1"/>
    <x v="2"/>
    <n v="1"/>
    <n v="781"/>
    <m/>
    <n v="3"/>
    <x v="0"/>
    <x v="0"/>
    <x v="0"/>
    <n v="6180"/>
    <x v="1"/>
    <s v="Jan"/>
  </r>
  <r>
    <n v="45"/>
    <x v="1"/>
    <x v="1"/>
    <m/>
    <m/>
    <s v="Travel_Rarely"/>
    <n v="954"/>
    <x v="0"/>
    <n v="2"/>
    <n v="2"/>
    <x v="4"/>
    <n v="1"/>
    <n v="783"/>
    <m/>
    <n v="2"/>
    <x v="0"/>
    <x v="6"/>
    <x v="2"/>
    <n v="6632"/>
    <x v="1"/>
    <s v="Jan"/>
  </r>
  <r>
    <n v="23"/>
    <x v="4"/>
    <x v="1"/>
    <m/>
    <m/>
    <s v="Travel_Rarely"/>
    <n v="310"/>
    <x v="1"/>
    <n v="10"/>
    <n v="1"/>
    <x v="2"/>
    <n v="1"/>
    <n v="784"/>
    <m/>
    <n v="1"/>
    <x v="1"/>
    <x v="1"/>
    <x v="2"/>
    <n v="3505"/>
    <x v="1"/>
    <s v="Jan"/>
  </r>
  <r>
    <n v="47"/>
    <x v="1"/>
    <x v="0"/>
    <m/>
    <m/>
    <s v="Travel_Frequently"/>
    <n v="719"/>
    <x v="0"/>
    <n v="27"/>
    <n v="2"/>
    <x v="0"/>
    <n v="1"/>
    <n v="785"/>
    <m/>
    <n v="2"/>
    <x v="0"/>
    <x v="0"/>
    <x v="2"/>
    <n v="6397"/>
    <x v="0"/>
    <s v="Jan"/>
  </r>
  <r>
    <n v="34"/>
    <x v="2"/>
    <x v="1"/>
    <m/>
    <m/>
    <s v="Travel_Rarely"/>
    <n v="304"/>
    <x v="0"/>
    <n v="2"/>
    <n v="3"/>
    <x v="1"/>
    <n v="1"/>
    <n v="786"/>
    <m/>
    <n v="4"/>
    <x v="0"/>
    <x v="0"/>
    <x v="0"/>
    <n v="6274"/>
    <x v="1"/>
    <s v="Jan"/>
  </r>
  <r>
    <n v="55"/>
    <x v="3"/>
    <x v="0"/>
    <m/>
    <m/>
    <s v="Travel_Rarely"/>
    <n v="725"/>
    <x v="1"/>
    <n v="2"/>
    <n v="3"/>
    <x v="2"/>
    <n v="1"/>
    <n v="787"/>
    <m/>
    <n v="4"/>
    <x v="4"/>
    <x v="5"/>
    <x v="3"/>
    <n v="19859"/>
    <x v="0"/>
    <s v="Jan"/>
  </r>
  <r>
    <n v="36"/>
    <x v="0"/>
    <x v="1"/>
    <m/>
    <m/>
    <s v="Non-Travel"/>
    <n v="1434"/>
    <x v="0"/>
    <n v="8"/>
    <n v="4"/>
    <x v="0"/>
    <n v="1"/>
    <n v="789"/>
    <m/>
    <n v="1"/>
    <x v="2"/>
    <x v="0"/>
    <x v="3"/>
    <n v="7587"/>
    <x v="1"/>
    <s v="Jan"/>
  </r>
  <r>
    <n v="52"/>
    <x v="1"/>
    <x v="1"/>
    <m/>
    <m/>
    <s v="Non-Travel"/>
    <n v="715"/>
    <x v="1"/>
    <n v="19"/>
    <n v="4"/>
    <x v="2"/>
    <n v="1"/>
    <n v="791"/>
    <m/>
    <n v="4"/>
    <x v="1"/>
    <x v="1"/>
    <x v="0"/>
    <n v="4258"/>
    <x v="1"/>
    <s v="Jan"/>
  </r>
  <r>
    <n v="26"/>
    <x v="2"/>
    <x v="1"/>
    <m/>
    <m/>
    <s v="Travel_Frequently"/>
    <n v="575"/>
    <x v="1"/>
    <n v="1"/>
    <n v="2"/>
    <x v="0"/>
    <n v="1"/>
    <n v="792"/>
    <m/>
    <n v="1"/>
    <x v="1"/>
    <x v="2"/>
    <x v="0"/>
    <n v="4364"/>
    <x v="1"/>
    <s v="Jan"/>
  </r>
  <r>
    <n v="29"/>
    <x v="2"/>
    <x v="1"/>
    <m/>
    <m/>
    <s v="Travel_Rarely"/>
    <n v="657"/>
    <x v="1"/>
    <n v="27"/>
    <n v="3"/>
    <x v="2"/>
    <n v="1"/>
    <n v="793"/>
    <m/>
    <n v="2"/>
    <x v="0"/>
    <x v="4"/>
    <x v="2"/>
    <n v="4335"/>
    <x v="1"/>
    <s v="Jan"/>
  </r>
  <r>
    <n v="26"/>
    <x v="2"/>
    <x v="0"/>
    <m/>
    <m/>
    <s v="Travel_Rarely"/>
    <n v="1146"/>
    <x v="0"/>
    <n v="8"/>
    <n v="3"/>
    <x v="4"/>
    <n v="1"/>
    <n v="796"/>
    <m/>
    <n v="4"/>
    <x v="0"/>
    <x v="0"/>
    <x v="3"/>
    <n v="5326"/>
    <x v="1"/>
    <s v="Jan"/>
  </r>
  <r>
    <n v="34"/>
    <x v="2"/>
    <x v="1"/>
    <m/>
    <m/>
    <s v="Travel_Rarely"/>
    <n v="182"/>
    <x v="1"/>
    <n v="1"/>
    <n v="4"/>
    <x v="0"/>
    <n v="1"/>
    <n v="797"/>
    <m/>
    <n v="2"/>
    <x v="1"/>
    <x v="1"/>
    <x v="0"/>
    <n v="3280"/>
    <x v="1"/>
    <s v="Jan"/>
  </r>
  <r>
    <n v="54"/>
    <x v="1"/>
    <x v="1"/>
    <m/>
    <m/>
    <s v="Travel_Rarely"/>
    <n v="376"/>
    <x v="1"/>
    <n v="19"/>
    <n v="4"/>
    <x v="2"/>
    <n v="1"/>
    <n v="799"/>
    <m/>
    <n v="4"/>
    <x v="0"/>
    <x v="3"/>
    <x v="3"/>
    <n v="5485"/>
    <x v="0"/>
    <s v="Jan"/>
  </r>
  <r>
    <n v="27"/>
    <x v="2"/>
    <x v="1"/>
    <m/>
    <m/>
    <s v="Travel_Frequently"/>
    <n v="829"/>
    <x v="0"/>
    <n v="8"/>
    <n v="1"/>
    <x v="3"/>
    <n v="1"/>
    <n v="800"/>
    <m/>
    <n v="3"/>
    <x v="0"/>
    <x v="0"/>
    <x v="0"/>
    <n v="4342"/>
    <x v="1"/>
    <s v="Jan"/>
  </r>
  <r>
    <n v="37"/>
    <x v="0"/>
    <x v="1"/>
    <m/>
    <m/>
    <s v="Travel_Rarely"/>
    <n v="571"/>
    <x v="1"/>
    <n v="10"/>
    <n v="1"/>
    <x v="0"/>
    <n v="1"/>
    <n v="802"/>
    <m/>
    <n v="4"/>
    <x v="1"/>
    <x v="1"/>
    <x v="3"/>
    <n v="2782"/>
    <x v="0"/>
    <s v="Jan"/>
  </r>
  <r>
    <n v="38"/>
    <x v="0"/>
    <x v="1"/>
    <m/>
    <m/>
    <s v="Travel_Frequently"/>
    <n v="240"/>
    <x v="1"/>
    <n v="2"/>
    <n v="4"/>
    <x v="0"/>
    <n v="1"/>
    <n v="803"/>
    <m/>
    <n v="1"/>
    <x v="0"/>
    <x v="3"/>
    <x v="3"/>
    <n v="5980"/>
    <x v="0"/>
    <s v="Jan"/>
  </r>
  <r>
    <n v="34"/>
    <x v="2"/>
    <x v="1"/>
    <m/>
    <m/>
    <s v="Travel_Rarely"/>
    <n v="121"/>
    <x v="1"/>
    <n v="2"/>
    <n v="4"/>
    <x v="2"/>
    <n v="1"/>
    <n v="804"/>
    <m/>
    <n v="3"/>
    <x v="1"/>
    <x v="1"/>
    <x v="3"/>
    <n v="4381"/>
    <x v="1"/>
    <s v="Jan"/>
  </r>
  <r>
    <n v="35"/>
    <x v="0"/>
    <x v="1"/>
    <m/>
    <m/>
    <s v="Travel_Rarely"/>
    <n v="384"/>
    <x v="0"/>
    <n v="8"/>
    <n v="4"/>
    <x v="0"/>
    <n v="1"/>
    <n v="805"/>
    <m/>
    <n v="1"/>
    <x v="1"/>
    <x v="6"/>
    <x v="0"/>
    <n v="2572"/>
    <x v="1"/>
    <s v="Jan"/>
  </r>
  <r>
    <n v="30"/>
    <x v="2"/>
    <x v="1"/>
    <m/>
    <m/>
    <s v="Travel_Rarely"/>
    <n v="921"/>
    <x v="1"/>
    <n v="1"/>
    <n v="3"/>
    <x v="0"/>
    <n v="1"/>
    <n v="806"/>
    <m/>
    <n v="4"/>
    <x v="1"/>
    <x v="2"/>
    <x v="2"/>
    <n v="3833"/>
    <x v="1"/>
    <s v="Jan"/>
  </r>
  <r>
    <n v="40"/>
    <x v="0"/>
    <x v="1"/>
    <m/>
    <m/>
    <s v="Travel_Frequently"/>
    <n v="791"/>
    <x v="1"/>
    <n v="2"/>
    <n v="2"/>
    <x v="2"/>
    <n v="1"/>
    <n v="807"/>
    <m/>
    <n v="3"/>
    <x v="0"/>
    <x v="4"/>
    <x v="1"/>
    <n v="4244"/>
    <x v="1"/>
    <s v="Jan"/>
  </r>
  <r>
    <n v="34"/>
    <x v="2"/>
    <x v="1"/>
    <m/>
    <m/>
    <s v="Travel_Rarely"/>
    <n v="1111"/>
    <x v="0"/>
    <n v="8"/>
    <n v="2"/>
    <x v="0"/>
    <n v="1"/>
    <n v="808"/>
    <m/>
    <n v="3"/>
    <x v="0"/>
    <x v="0"/>
    <x v="3"/>
    <n v="6500"/>
    <x v="1"/>
    <s v="Jan"/>
  </r>
  <r>
    <n v="42"/>
    <x v="0"/>
    <x v="1"/>
    <m/>
    <m/>
    <s v="Travel_Frequently"/>
    <n v="570"/>
    <x v="1"/>
    <n v="8"/>
    <n v="3"/>
    <x v="0"/>
    <n v="1"/>
    <n v="809"/>
    <m/>
    <n v="2"/>
    <x v="4"/>
    <x v="5"/>
    <x v="0"/>
    <n v="18430"/>
    <x v="1"/>
    <s v="Jan"/>
  </r>
  <r>
    <n v="23"/>
    <x v="4"/>
    <x v="0"/>
    <m/>
    <m/>
    <s v="Travel_Rarely"/>
    <n v="1243"/>
    <x v="1"/>
    <n v="6"/>
    <n v="3"/>
    <x v="0"/>
    <n v="1"/>
    <n v="811"/>
    <m/>
    <n v="3"/>
    <x v="1"/>
    <x v="2"/>
    <x v="3"/>
    <n v="1601"/>
    <x v="0"/>
    <s v="Jan"/>
  </r>
  <r>
    <n v="24"/>
    <x v="4"/>
    <x v="1"/>
    <m/>
    <m/>
    <s v="Non-Travel"/>
    <n v="1092"/>
    <x v="1"/>
    <n v="9"/>
    <n v="3"/>
    <x v="0"/>
    <n v="1"/>
    <n v="812"/>
    <m/>
    <n v="3"/>
    <x v="1"/>
    <x v="2"/>
    <x v="1"/>
    <n v="2694"/>
    <x v="1"/>
    <s v="Jan"/>
  </r>
  <r>
    <n v="52"/>
    <x v="1"/>
    <x v="1"/>
    <m/>
    <m/>
    <s v="Travel_Rarely"/>
    <n v="1325"/>
    <x v="1"/>
    <n v="11"/>
    <n v="4"/>
    <x v="0"/>
    <n v="1"/>
    <n v="813"/>
    <m/>
    <n v="4"/>
    <x v="0"/>
    <x v="2"/>
    <x v="2"/>
    <n v="3149"/>
    <x v="1"/>
    <s v="Jan"/>
  </r>
  <r>
    <n v="50"/>
    <x v="1"/>
    <x v="1"/>
    <m/>
    <m/>
    <s v="Travel_Rarely"/>
    <n v="691"/>
    <x v="1"/>
    <n v="2"/>
    <n v="3"/>
    <x v="2"/>
    <n v="1"/>
    <n v="815"/>
    <m/>
    <n v="3"/>
    <x v="3"/>
    <x v="7"/>
    <x v="2"/>
    <n v="17639"/>
    <x v="1"/>
    <s v="Jan"/>
  </r>
  <r>
    <n v="29"/>
    <x v="2"/>
    <x v="0"/>
    <m/>
    <m/>
    <s v="Travel_Rarely"/>
    <n v="805"/>
    <x v="1"/>
    <n v="1"/>
    <n v="2"/>
    <x v="0"/>
    <n v="1"/>
    <n v="816"/>
    <m/>
    <n v="2"/>
    <x v="1"/>
    <x v="2"/>
    <x v="3"/>
    <n v="2319"/>
    <x v="0"/>
    <s v="Jan"/>
  </r>
  <r>
    <n v="33"/>
    <x v="2"/>
    <x v="1"/>
    <m/>
    <m/>
    <s v="Travel_Rarely"/>
    <n v="213"/>
    <x v="1"/>
    <n v="7"/>
    <n v="3"/>
    <x v="2"/>
    <n v="1"/>
    <n v="817"/>
    <m/>
    <n v="3"/>
    <x v="2"/>
    <x v="7"/>
    <x v="2"/>
    <n v="11691"/>
    <x v="1"/>
    <s v="Jan"/>
  </r>
  <r>
    <n v="33"/>
    <x v="2"/>
    <x v="0"/>
    <m/>
    <m/>
    <s v="Travel_Rarely"/>
    <n v="118"/>
    <x v="0"/>
    <n v="16"/>
    <n v="3"/>
    <x v="3"/>
    <n v="1"/>
    <n v="819"/>
    <m/>
    <n v="1"/>
    <x v="0"/>
    <x v="0"/>
    <x v="3"/>
    <n v="5324"/>
    <x v="1"/>
    <s v="Jan"/>
  </r>
  <r>
    <n v="47"/>
    <x v="1"/>
    <x v="1"/>
    <m/>
    <m/>
    <s v="Travel_Rarely"/>
    <n v="202"/>
    <x v="1"/>
    <n v="2"/>
    <n v="2"/>
    <x v="1"/>
    <n v="1"/>
    <n v="820"/>
    <m/>
    <n v="3"/>
    <x v="3"/>
    <x v="5"/>
    <x v="0"/>
    <n v="16752"/>
    <x v="0"/>
    <s v="Jan"/>
  </r>
  <r>
    <n v="36"/>
    <x v="0"/>
    <x v="1"/>
    <m/>
    <m/>
    <s v="Travel_Rarely"/>
    <n v="676"/>
    <x v="1"/>
    <n v="1"/>
    <n v="3"/>
    <x v="1"/>
    <n v="1"/>
    <n v="823"/>
    <m/>
    <n v="3"/>
    <x v="0"/>
    <x v="3"/>
    <x v="1"/>
    <n v="5228"/>
    <x v="1"/>
    <s v="Jan"/>
  </r>
  <r>
    <n v="29"/>
    <x v="2"/>
    <x v="1"/>
    <m/>
    <m/>
    <s v="Travel_Rarely"/>
    <n v="1252"/>
    <x v="1"/>
    <n v="23"/>
    <n v="2"/>
    <x v="0"/>
    <n v="1"/>
    <n v="824"/>
    <m/>
    <n v="3"/>
    <x v="1"/>
    <x v="1"/>
    <x v="2"/>
    <n v="2700"/>
    <x v="1"/>
    <s v="Jan"/>
  </r>
  <r>
    <n v="58"/>
    <x v="3"/>
    <x v="0"/>
    <m/>
    <m/>
    <s v="Travel_Rarely"/>
    <n v="286"/>
    <x v="1"/>
    <n v="2"/>
    <n v="4"/>
    <x v="0"/>
    <n v="1"/>
    <n v="825"/>
    <m/>
    <n v="4"/>
    <x v="4"/>
    <x v="7"/>
    <x v="1"/>
    <n v="19246"/>
    <x v="0"/>
    <s v="Jan"/>
  </r>
  <r>
    <n v="35"/>
    <x v="0"/>
    <x v="1"/>
    <m/>
    <m/>
    <s v="Travel_Rarely"/>
    <n v="1258"/>
    <x v="1"/>
    <n v="1"/>
    <n v="4"/>
    <x v="0"/>
    <n v="1"/>
    <n v="826"/>
    <m/>
    <n v="4"/>
    <x v="1"/>
    <x v="1"/>
    <x v="2"/>
    <n v="2506"/>
    <x v="1"/>
    <s v="Jan"/>
  </r>
  <r>
    <n v="42"/>
    <x v="0"/>
    <x v="1"/>
    <m/>
    <m/>
    <s v="Travel_Rarely"/>
    <n v="932"/>
    <x v="1"/>
    <n v="1"/>
    <n v="2"/>
    <x v="0"/>
    <n v="1"/>
    <n v="827"/>
    <m/>
    <n v="4"/>
    <x v="0"/>
    <x v="3"/>
    <x v="0"/>
    <n v="6062"/>
    <x v="0"/>
    <s v="Jan"/>
  </r>
  <r>
    <n v="28"/>
    <x v="2"/>
    <x v="0"/>
    <m/>
    <m/>
    <s v="Travel_Rarely"/>
    <n v="890"/>
    <x v="1"/>
    <n v="2"/>
    <n v="4"/>
    <x v="2"/>
    <n v="1"/>
    <n v="828"/>
    <m/>
    <n v="3"/>
    <x v="1"/>
    <x v="1"/>
    <x v="2"/>
    <n v="4382"/>
    <x v="1"/>
    <s v="Jan"/>
  </r>
  <r>
    <n v="36"/>
    <x v="0"/>
    <x v="1"/>
    <m/>
    <m/>
    <s v="Travel_Rarely"/>
    <n v="1041"/>
    <x v="2"/>
    <n v="13"/>
    <n v="3"/>
    <x v="5"/>
    <n v="1"/>
    <n v="829"/>
    <m/>
    <n v="3"/>
    <x v="1"/>
    <x v="8"/>
    <x v="1"/>
    <n v="2143"/>
    <x v="1"/>
    <s v="Jan"/>
  </r>
  <r>
    <n v="32"/>
    <x v="2"/>
    <x v="1"/>
    <m/>
    <m/>
    <s v="Travel_Rarely"/>
    <n v="859"/>
    <x v="1"/>
    <n v="4"/>
    <n v="3"/>
    <x v="0"/>
    <n v="1"/>
    <n v="830"/>
    <m/>
    <n v="3"/>
    <x v="0"/>
    <x v="3"/>
    <x v="2"/>
    <n v="6162"/>
    <x v="1"/>
    <s v="Jan"/>
  </r>
  <r>
    <n v="40"/>
    <x v="0"/>
    <x v="1"/>
    <m/>
    <m/>
    <s v="Travel_Frequently"/>
    <n v="720"/>
    <x v="1"/>
    <n v="16"/>
    <n v="4"/>
    <x v="2"/>
    <n v="1"/>
    <n v="832"/>
    <m/>
    <n v="1"/>
    <x v="0"/>
    <x v="2"/>
    <x v="2"/>
    <n v="5094"/>
    <x v="1"/>
    <s v="Jan"/>
  </r>
  <r>
    <n v="30"/>
    <x v="2"/>
    <x v="1"/>
    <m/>
    <m/>
    <s v="Travel_Rarely"/>
    <n v="946"/>
    <x v="1"/>
    <n v="2"/>
    <n v="3"/>
    <x v="2"/>
    <n v="1"/>
    <n v="833"/>
    <m/>
    <n v="3"/>
    <x v="0"/>
    <x v="3"/>
    <x v="0"/>
    <n v="6877"/>
    <x v="0"/>
    <s v="Jan"/>
  </r>
  <r>
    <n v="45"/>
    <x v="1"/>
    <x v="1"/>
    <m/>
    <m/>
    <s v="Travel_Rarely"/>
    <n v="252"/>
    <x v="1"/>
    <n v="2"/>
    <n v="3"/>
    <x v="0"/>
    <n v="1"/>
    <n v="834"/>
    <m/>
    <n v="2"/>
    <x v="1"/>
    <x v="1"/>
    <x v="2"/>
    <n v="2274"/>
    <x v="1"/>
    <s v="Jan"/>
  </r>
  <r>
    <n v="42"/>
    <x v="0"/>
    <x v="1"/>
    <m/>
    <m/>
    <s v="Travel_Rarely"/>
    <n v="933"/>
    <x v="1"/>
    <n v="29"/>
    <n v="3"/>
    <x v="0"/>
    <n v="1"/>
    <n v="836"/>
    <m/>
    <n v="2"/>
    <x v="0"/>
    <x v="3"/>
    <x v="1"/>
    <n v="4434"/>
    <x v="1"/>
    <s v="Jan"/>
  </r>
  <r>
    <n v="38"/>
    <x v="0"/>
    <x v="1"/>
    <m/>
    <m/>
    <s v="Travel_Frequently"/>
    <n v="471"/>
    <x v="1"/>
    <n v="12"/>
    <n v="3"/>
    <x v="0"/>
    <n v="1"/>
    <n v="837"/>
    <m/>
    <n v="1"/>
    <x v="0"/>
    <x v="4"/>
    <x v="3"/>
    <n v="6288"/>
    <x v="1"/>
    <s v="Jan"/>
  </r>
  <r>
    <n v="34"/>
    <x v="2"/>
    <x v="1"/>
    <m/>
    <m/>
    <s v="Travel_Frequently"/>
    <n v="702"/>
    <x v="1"/>
    <n v="16"/>
    <n v="4"/>
    <x v="0"/>
    <n v="1"/>
    <n v="838"/>
    <m/>
    <n v="3"/>
    <x v="1"/>
    <x v="1"/>
    <x v="0"/>
    <n v="2553"/>
    <x v="1"/>
    <s v="Jan"/>
  </r>
  <r>
    <n v="49"/>
    <x v="1"/>
    <x v="0"/>
    <m/>
    <m/>
    <s v="Travel_Rarely"/>
    <n v="1184"/>
    <x v="0"/>
    <n v="11"/>
    <n v="3"/>
    <x v="3"/>
    <n v="1"/>
    <n v="840"/>
    <m/>
    <n v="3"/>
    <x v="2"/>
    <x v="0"/>
    <x v="0"/>
    <n v="7654"/>
    <x v="1"/>
    <s v="Jan"/>
  </r>
  <r>
    <n v="55"/>
    <x v="3"/>
    <x v="0"/>
    <m/>
    <m/>
    <s v="Travel_Rarely"/>
    <n v="436"/>
    <x v="0"/>
    <n v="2"/>
    <n v="1"/>
    <x v="2"/>
    <n v="1"/>
    <n v="842"/>
    <m/>
    <n v="3"/>
    <x v="0"/>
    <x v="0"/>
    <x v="0"/>
    <n v="5160"/>
    <x v="1"/>
    <s v="Jan"/>
  </r>
  <r>
    <n v="43"/>
    <x v="0"/>
    <x v="1"/>
    <m/>
    <m/>
    <s v="Travel_Rarely"/>
    <n v="589"/>
    <x v="1"/>
    <n v="14"/>
    <n v="2"/>
    <x v="0"/>
    <n v="1"/>
    <n v="843"/>
    <m/>
    <n v="2"/>
    <x v="3"/>
    <x v="7"/>
    <x v="3"/>
    <n v="17159"/>
    <x v="1"/>
    <s v="Jan"/>
  </r>
  <r>
    <n v="27"/>
    <x v="2"/>
    <x v="1"/>
    <m/>
    <m/>
    <s v="Travel_Rarely"/>
    <n v="269"/>
    <x v="1"/>
    <n v="5"/>
    <n v="1"/>
    <x v="4"/>
    <n v="1"/>
    <n v="844"/>
    <m/>
    <n v="3"/>
    <x v="2"/>
    <x v="7"/>
    <x v="0"/>
    <n v="12808"/>
    <x v="0"/>
    <s v="Jan"/>
  </r>
  <r>
    <n v="35"/>
    <x v="0"/>
    <x v="1"/>
    <m/>
    <m/>
    <s v="Travel_Rarely"/>
    <n v="950"/>
    <x v="1"/>
    <n v="7"/>
    <n v="3"/>
    <x v="1"/>
    <n v="1"/>
    <n v="845"/>
    <m/>
    <n v="3"/>
    <x v="2"/>
    <x v="3"/>
    <x v="2"/>
    <n v="10221"/>
    <x v="1"/>
    <s v="Jan"/>
  </r>
  <r>
    <n v="28"/>
    <x v="2"/>
    <x v="1"/>
    <m/>
    <m/>
    <s v="Travel_Rarely"/>
    <n v="760"/>
    <x v="0"/>
    <n v="2"/>
    <n v="4"/>
    <x v="3"/>
    <n v="1"/>
    <n v="846"/>
    <m/>
    <n v="2"/>
    <x v="0"/>
    <x v="0"/>
    <x v="1"/>
    <n v="4779"/>
    <x v="0"/>
    <s v="Jan"/>
  </r>
  <r>
    <n v="34"/>
    <x v="2"/>
    <x v="1"/>
    <m/>
    <m/>
    <s v="Travel_Rarely"/>
    <n v="829"/>
    <x v="2"/>
    <n v="3"/>
    <n v="2"/>
    <x v="5"/>
    <n v="1"/>
    <n v="847"/>
    <m/>
    <n v="3"/>
    <x v="1"/>
    <x v="8"/>
    <x v="0"/>
    <n v="3737"/>
    <x v="1"/>
    <s v="Jan"/>
  </r>
  <r>
    <n v="26"/>
    <x v="2"/>
    <x v="0"/>
    <m/>
    <m/>
    <s v="Travel_Frequently"/>
    <n v="887"/>
    <x v="1"/>
    <n v="5"/>
    <n v="2"/>
    <x v="2"/>
    <n v="1"/>
    <n v="848"/>
    <m/>
    <n v="3"/>
    <x v="1"/>
    <x v="1"/>
    <x v="2"/>
    <n v="2366"/>
    <x v="0"/>
    <s v="Jan"/>
  </r>
  <r>
    <n v="27"/>
    <x v="2"/>
    <x v="1"/>
    <m/>
    <m/>
    <s v="Non-Travel"/>
    <n v="443"/>
    <x v="1"/>
    <n v="3"/>
    <n v="3"/>
    <x v="2"/>
    <n v="1"/>
    <n v="850"/>
    <m/>
    <n v="4"/>
    <x v="1"/>
    <x v="1"/>
    <x v="0"/>
    <n v="1706"/>
    <x v="1"/>
    <s v="Jan"/>
  </r>
  <r>
    <n v="51"/>
    <x v="1"/>
    <x v="1"/>
    <m/>
    <m/>
    <s v="Travel_Rarely"/>
    <n v="1318"/>
    <x v="0"/>
    <n v="26"/>
    <n v="4"/>
    <x v="3"/>
    <n v="1"/>
    <n v="851"/>
    <m/>
    <n v="1"/>
    <x v="3"/>
    <x v="5"/>
    <x v="2"/>
    <n v="16307"/>
    <x v="1"/>
    <s v="Jan"/>
  </r>
  <r>
    <n v="44"/>
    <x v="0"/>
    <x v="1"/>
    <m/>
    <m/>
    <s v="Travel_Rarely"/>
    <n v="625"/>
    <x v="1"/>
    <n v="4"/>
    <n v="3"/>
    <x v="2"/>
    <n v="1"/>
    <n v="852"/>
    <m/>
    <n v="4"/>
    <x v="0"/>
    <x v="4"/>
    <x v="1"/>
    <n v="5933"/>
    <x v="1"/>
    <s v="Jan"/>
  </r>
  <r>
    <n v="25"/>
    <x v="2"/>
    <x v="1"/>
    <m/>
    <m/>
    <s v="Travel_Rarely"/>
    <n v="180"/>
    <x v="1"/>
    <n v="2"/>
    <n v="1"/>
    <x v="2"/>
    <n v="1"/>
    <n v="854"/>
    <m/>
    <n v="1"/>
    <x v="1"/>
    <x v="1"/>
    <x v="3"/>
    <n v="3424"/>
    <x v="1"/>
    <s v="Jan"/>
  </r>
  <r>
    <n v="33"/>
    <x v="2"/>
    <x v="1"/>
    <m/>
    <m/>
    <s v="Travel_Rarely"/>
    <n v="586"/>
    <x v="0"/>
    <n v="1"/>
    <n v="3"/>
    <x v="2"/>
    <n v="1"/>
    <n v="855"/>
    <m/>
    <n v="1"/>
    <x v="0"/>
    <x v="0"/>
    <x v="3"/>
    <n v="4037"/>
    <x v="1"/>
    <s v="Jan"/>
  </r>
  <r>
    <n v="35"/>
    <x v="0"/>
    <x v="1"/>
    <m/>
    <m/>
    <s v="Travel_Rarely"/>
    <n v="1343"/>
    <x v="1"/>
    <n v="27"/>
    <n v="1"/>
    <x v="2"/>
    <n v="1"/>
    <n v="856"/>
    <m/>
    <n v="3"/>
    <x v="1"/>
    <x v="1"/>
    <x v="3"/>
    <n v="2559"/>
    <x v="1"/>
    <s v="Jan"/>
  </r>
  <r>
    <n v="36"/>
    <x v="0"/>
    <x v="1"/>
    <m/>
    <m/>
    <s v="Travel_Rarely"/>
    <n v="928"/>
    <x v="0"/>
    <n v="1"/>
    <n v="2"/>
    <x v="0"/>
    <n v="1"/>
    <n v="857"/>
    <m/>
    <n v="2"/>
    <x v="0"/>
    <x v="0"/>
    <x v="0"/>
    <n v="6201"/>
    <x v="0"/>
    <s v="Jan"/>
  </r>
  <r>
    <n v="32"/>
    <x v="2"/>
    <x v="1"/>
    <m/>
    <m/>
    <s v="Travel_Rarely"/>
    <n v="117"/>
    <x v="0"/>
    <n v="13"/>
    <n v="4"/>
    <x v="0"/>
    <n v="1"/>
    <n v="859"/>
    <m/>
    <n v="2"/>
    <x v="0"/>
    <x v="0"/>
    <x v="0"/>
    <n v="4403"/>
    <x v="1"/>
    <s v="Jan"/>
  </r>
  <r>
    <n v="30"/>
    <x v="2"/>
    <x v="1"/>
    <m/>
    <m/>
    <s v="Travel_Frequently"/>
    <n v="1012"/>
    <x v="1"/>
    <n v="5"/>
    <n v="4"/>
    <x v="0"/>
    <n v="1"/>
    <n v="861"/>
    <m/>
    <n v="2"/>
    <x v="1"/>
    <x v="1"/>
    <x v="0"/>
    <n v="3761"/>
    <x v="1"/>
    <s v="Jan"/>
  </r>
  <r>
    <n v="53"/>
    <x v="1"/>
    <x v="1"/>
    <m/>
    <m/>
    <s v="Travel_Rarely"/>
    <n v="661"/>
    <x v="0"/>
    <n v="7"/>
    <n v="2"/>
    <x v="3"/>
    <n v="1"/>
    <n v="862"/>
    <m/>
    <n v="1"/>
    <x v="2"/>
    <x v="0"/>
    <x v="0"/>
    <n v="10934"/>
    <x v="0"/>
    <s v="Jan"/>
  </r>
  <r>
    <n v="45"/>
    <x v="1"/>
    <x v="1"/>
    <m/>
    <m/>
    <s v="Travel_Rarely"/>
    <n v="930"/>
    <x v="0"/>
    <n v="9"/>
    <n v="3"/>
    <x v="3"/>
    <n v="1"/>
    <n v="864"/>
    <m/>
    <n v="4"/>
    <x v="2"/>
    <x v="0"/>
    <x v="3"/>
    <n v="10761"/>
    <x v="0"/>
    <s v="Jan"/>
  </r>
  <r>
    <n v="32"/>
    <x v="2"/>
    <x v="1"/>
    <m/>
    <m/>
    <s v="Travel_Rarely"/>
    <n v="638"/>
    <x v="1"/>
    <n v="8"/>
    <n v="2"/>
    <x v="2"/>
    <n v="1"/>
    <n v="865"/>
    <m/>
    <n v="3"/>
    <x v="0"/>
    <x v="1"/>
    <x v="2"/>
    <n v="5175"/>
    <x v="1"/>
    <s v="Jan"/>
  </r>
  <r>
    <n v="52"/>
    <x v="1"/>
    <x v="1"/>
    <m/>
    <m/>
    <s v="Travel_Frequently"/>
    <n v="890"/>
    <x v="1"/>
    <n v="25"/>
    <n v="4"/>
    <x v="2"/>
    <n v="1"/>
    <n v="867"/>
    <m/>
    <n v="3"/>
    <x v="3"/>
    <x v="3"/>
    <x v="0"/>
    <n v="13826"/>
    <x v="1"/>
    <s v="Jan"/>
  </r>
  <r>
    <n v="37"/>
    <x v="0"/>
    <x v="1"/>
    <m/>
    <m/>
    <s v="Travel_Rarely"/>
    <n v="342"/>
    <x v="0"/>
    <n v="16"/>
    <n v="4"/>
    <x v="3"/>
    <n v="1"/>
    <n v="868"/>
    <m/>
    <n v="4"/>
    <x v="0"/>
    <x v="0"/>
    <x v="2"/>
    <n v="6334"/>
    <x v="1"/>
    <s v="Jan"/>
  </r>
  <r>
    <n v="28"/>
    <x v="2"/>
    <x v="1"/>
    <m/>
    <m/>
    <s v="Travel_Rarely"/>
    <n v="1169"/>
    <x v="2"/>
    <n v="8"/>
    <n v="2"/>
    <x v="2"/>
    <n v="1"/>
    <n v="869"/>
    <m/>
    <n v="2"/>
    <x v="1"/>
    <x v="8"/>
    <x v="0"/>
    <n v="4936"/>
    <x v="1"/>
    <s v="Jan"/>
  </r>
  <r>
    <n v="22"/>
    <x v="4"/>
    <x v="1"/>
    <m/>
    <m/>
    <s v="Travel_Rarely"/>
    <n v="1230"/>
    <x v="1"/>
    <n v="1"/>
    <n v="2"/>
    <x v="0"/>
    <n v="1"/>
    <n v="872"/>
    <m/>
    <n v="4"/>
    <x v="0"/>
    <x v="3"/>
    <x v="0"/>
    <n v="4775"/>
    <x v="1"/>
    <s v="Jan"/>
  </r>
  <r>
    <n v="44"/>
    <x v="0"/>
    <x v="1"/>
    <m/>
    <m/>
    <s v="Travel_Rarely"/>
    <n v="986"/>
    <x v="1"/>
    <n v="8"/>
    <n v="4"/>
    <x v="0"/>
    <n v="1"/>
    <n v="874"/>
    <m/>
    <n v="1"/>
    <x v="1"/>
    <x v="2"/>
    <x v="0"/>
    <n v="2818"/>
    <x v="0"/>
    <s v="Jan"/>
  </r>
  <r>
    <n v="42"/>
    <x v="0"/>
    <x v="1"/>
    <m/>
    <m/>
    <s v="Travel_Frequently"/>
    <n v="1271"/>
    <x v="1"/>
    <n v="2"/>
    <n v="1"/>
    <x v="2"/>
    <n v="1"/>
    <n v="875"/>
    <m/>
    <n v="2"/>
    <x v="1"/>
    <x v="1"/>
    <x v="0"/>
    <n v="2515"/>
    <x v="0"/>
    <s v="Jan"/>
  </r>
  <r>
    <n v="36"/>
    <x v="0"/>
    <x v="1"/>
    <m/>
    <m/>
    <s v="Travel_Rarely"/>
    <n v="1278"/>
    <x v="2"/>
    <n v="8"/>
    <n v="3"/>
    <x v="0"/>
    <n v="1"/>
    <n v="878"/>
    <m/>
    <n v="1"/>
    <x v="1"/>
    <x v="8"/>
    <x v="3"/>
    <n v="2342"/>
    <x v="1"/>
    <s v="Jan"/>
  </r>
  <r>
    <n v="25"/>
    <x v="2"/>
    <x v="1"/>
    <m/>
    <m/>
    <s v="Travel_Rarely"/>
    <n v="141"/>
    <x v="0"/>
    <n v="3"/>
    <n v="1"/>
    <x v="1"/>
    <n v="1"/>
    <n v="879"/>
    <m/>
    <n v="3"/>
    <x v="0"/>
    <x v="0"/>
    <x v="3"/>
    <n v="4194"/>
    <x v="0"/>
    <s v="Jan"/>
  </r>
  <r>
    <n v="35"/>
    <x v="0"/>
    <x v="1"/>
    <m/>
    <m/>
    <s v="Travel_Rarely"/>
    <n v="607"/>
    <x v="1"/>
    <n v="9"/>
    <n v="3"/>
    <x v="0"/>
    <n v="1"/>
    <n v="880"/>
    <m/>
    <n v="4"/>
    <x v="2"/>
    <x v="3"/>
    <x v="2"/>
    <n v="10685"/>
    <x v="0"/>
    <s v="Jan"/>
  </r>
  <r>
    <n v="35"/>
    <x v="0"/>
    <x v="0"/>
    <m/>
    <m/>
    <s v="Travel_Frequently"/>
    <n v="130"/>
    <x v="1"/>
    <n v="25"/>
    <n v="4"/>
    <x v="0"/>
    <n v="1"/>
    <n v="881"/>
    <m/>
    <n v="4"/>
    <x v="1"/>
    <x v="1"/>
    <x v="1"/>
    <n v="2022"/>
    <x v="0"/>
    <s v="Jan"/>
  </r>
  <r>
    <n v="32"/>
    <x v="2"/>
    <x v="1"/>
    <m/>
    <m/>
    <s v="Non-Travel"/>
    <n v="300"/>
    <x v="1"/>
    <n v="1"/>
    <n v="3"/>
    <x v="0"/>
    <n v="1"/>
    <n v="882"/>
    <m/>
    <n v="4"/>
    <x v="1"/>
    <x v="2"/>
    <x v="0"/>
    <n v="2314"/>
    <x v="1"/>
    <s v="Jan"/>
  </r>
  <r>
    <n v="25"/>
    <x v="2"/>
    <x v="1"/>
    <m/>
    <m/>
    <s v="Travel_Rarely"/>
    <n v="583"/>
    <x v="0"/>
    <n v="4"/>
    <n v="1"/>
    <x v="3"/>
    <n v="1"/>
    <n v="885"/>
    <m/>
    <n v="3"/>
    <x v="0"/>
    <x v="0"/>
    <x v="3"/>
    <n v="4256"/>
    <x v="1"/>
    <s v="Jan"/>
  </r>
  <r>
    <n v="49"/>
    <x v="1"/>
    <x v="1"/>
    <m/>
    <m/>
    <s v="Travel_Rarely"/>
    <n v="1418"/>
    <x v="1"/>
    <n v="1"/>
    <n v="3"/>
    <x v="4"/>
    <n v="1"/>
    <n v="887"/>
    <m/>
    <n v="3"/>
    <x v="1"/>
    <x v="1"/>
    <x v="3"/>
    <n v="3580"/>
    <x v="1"/>
    <s v="Jan"/>
  </r>
  <r>
    <n v="24"/>
    <x v="4"/>
    <x v="1"/>
    <m/>
    <m/>
    <s v="Non-Travel"/>
    <n v="1269"/>
    <x v="1"/>
    <n v="4"/>
    <n v="1"/>
    <x v="0"/>
    <n v="1"/>
    <n v="888"/>
    <m/>
    <n v="1"/>
    <x v="1"/>
    <x v="2"/>
    <x v="0"/>
    <n v="3162"/>
    <x v="1"/>
    <s v="Jan"/>
  </r>
  <r>
    <n v="32"/>
    <x v="2"/>
    <x v="1"/>
    <m/>
    <m/>
    <s v="Travel_Frequently"/>
    <n v="379"/>
    <x v="0"/>
    <n v="5"/>
    <n v="2"/>
    <x v="0"/>
    <n v="1"/>
    <n v="889"/>
    <m/>
    <n v="2"/>
    <x v="0"/>
    <x v="0"/>
    <x v="1"/>
    <n v="6524"/>
    <x v="1"/>
    <s v="Jan"/>
  </r>
  <r>
    <n v="38"/>
    <x v="0"/>
    <x v="1"/>
    <m/>
    <m/>
    <s v="Travel_Rarely"/>
    <n v="395"/>
    <x v="0"/>
    <n v="9"/>
    <n v="3"/>
    <x v="3"/>
    <n v="1"/>
    <n v="893"/>
    <m/>
    <n v="2"/>
    <x v="1"/>
    <x v="6"/>
    <x v="1"/>
    <n v="2899"/>
    <x v="1"/>
    <s v="Jan"/>
  </r>
  <r>
    <n v="42"/>
    <x v="0"/>
    <x v="1"/>
    <m/>
    <m/>
    <s v="Travel_Rarely"/>
    <n v="1265"/>
    <x v="1"/>
    <n v="3"/>
    <n v="3"/>
    <x v="0"/>
    <n v="1"/>
    <n v="894"/>
    <m/>
    <n v="3"/>
    <x v="0"/>
    <x v="2"/>
    <x v="0"/>
    <n v="5231"/>
    <x v="0"/>
    <s v="Jan"/>
  </r>
  <r>
    <n v="31"/>
    <x v="2"/>
    <x v="1"/>
    <m/>
    <m/>
    <s v="Travel_Rarely"/>
    <n v="1222"/>
    <x v="1"/>
    <n v="11"/>
    <n v="4"/>
    <x v="0"/>
    <n v="1"/>
    <n v="895"/>
    <m/>
    <n v="4"/>
    <x v="1"/>
    <x v="1"/>
    <x v="0"/>
    <n v="2356"/>
    <x v="0"/>
    <s v="Jan"/>
  </r>
  <r>
    <n v="29"/>
    <x v="2"/>
    <x v="0"/>
    <m/>
    <m/>
    <s v="Travel_Rarely"/>
    <n v="341"/>
    <x v="0"/>
    <n v="1"/>
    <n v="3"/>
    <x v="2"/>
    <n v="1"/>
    <n v="896"/>
    <m/>
    <n v="2"/>
    <x v="1"/>
    <x v="6"/>
    <x v="2"/>
    <n v="2800"/>
    <x v="0"/>
    <s v="Jan"/>
  </r>
  <r>
    <n v="53"/>
    <x v="1"/>
    <x v="1"/>
    <m/>
    <m/>
    <s v="Travel_Rarely"/>
    <n v="868"/>
    <x v="0"/>
    <n v="8"/>
    <n v="3"/>
    <x v="3"/>
    <n v="1"/>
    <n v="897"/>
    <m/>
    <n v="1"/>
    <x v="3"/>
    <x v="0"/>
    <x v="0"/>
    <n v="11836"/>
    <x v="1"/>
    <s v="Jan"/>
  </r>
  <r>
    <n v="35"/>
    <x v="0"/>
    <x v="1"/>
    <m/>
    <m/>
    <s v="Travel_Rarely"/>
    <n v="672"/>
    <x v="1"/>
    <n v="25"/>
    <n v="3"/>
    <x v="4"/>
    <n v="1"/>
    <n v="899"/>
    <m/>
    <n v="4"/>
    <x v="2"/>
    <x v="3"/>
    <x v="1"/>
    <n v="10903"/>
    <x v="1"/>
    <s v="Jan"/>
  </r>
  <r>
    <n v="37"/>
    <x v="0"/>
    <x v="1"/>
    <m/>
    <m/>
    <s v="Travel_Frequently"/>
    <n v="1231"/>
    <x v="0"/>
    <n v="21"/>
    <n v="2"/>
    <x v="2"/>
    <n v="1"/>
    <n v="900"/>
    <m/>
    <n v="3"/>
    <x v="1"/>
    <x v="6"/>
    <x v="0"/>
    <n v="2973"/>
    <x v="1"/>
    <s v="Jan"/>
  </r>
  <r>
    <n v="53"/>
    <x v="1"/>
    <x v="1"/>
    <m/>
    <m/>
    <s v="Travel_Rarely"/>
    <n v="102"/>
    <x v="1"/>
    <n v="23"/>
    <n v="4"/>
    <x v="0"/>
    <n v="1"/>
    <n v="901"/>
    <m/>
    <n v="4"/>
    <x v="3"/>
    <x v="7"/>
    <x v="0"/>
    <n v="14275"/>
    <x v="1"/>
    <s v="Jan"/>
  </r>
  <r>
    <n v="43"/>
    <x v="0"/>
    <x v="1"/>
    <m/>
    <m/>
    <s v="Travel_Frequently"/>
    <n v="422"/>
    <x v="1"/>
    <n v="1"/>
    <n v="3"/>
    <x v="0"/>
    <n v="1"/>
    <n v="902"/>
    <m/>
    <n v="4"/>
    <x v="0"/>
    <x v="4"/>
    <x v="0"/>
    <n v="5562"/>
    <x v="1"/>
    <s v="Jan"/>
  </r>
  <r>
    <n v="47"/>
    <x v="1"/>
    <x v="1"/>
    <m/>
    <m/>
    <s v="Travel_Rarely"/>
    <n v="249"/>
    <x v="0"/>
    <n v="2"/>
    <n v="2"/>
    <x v="3"/>
    <n v="1"/>
    <n v="903"/>
    <m/>
    <n v="3"/>
    <x v="0"/>
    <x v="0"/>
    <x v="0"/>
    <n v="4537"/>
    <x v="0"/>
    <s v="Jan"/>
  </r>
  <r>
    <n v="37"/>
    <x v="0"/>
    <x v="1"/>
    <m/>
    <m/>
    <s v="Non-Travel"/>
    <n v="1252"/>
    <x v="0"/>
    <n v="19"/>
    <n v="2"/>
    <x v="2"/>
    <n v="1"/>
    <n v="904"/>
    <m/>
    <n v="1"/>
    <x v="2"/>
    <x v="0"/>
    <x v="1"/>
    <n v="7642"/>
    <x v="0"/>
    <s v="Jan"/>
  </r>
  <r>
    <n v="50"/>
    <x v="1"/>
    <x v="1"/>
    <m/>
    <m/>
    <s v="Non-Travel"/>
    <n v="881"/>
    <x v="1"/>
    <n v="2"/>
    <n v="4"/>
    <x v="0"/>
    <n v="1"/>
    <n v="905"/>
    <m/>
    <n v="1"/>
    <x v="3"/>
    <x v="5"/>
    <x v="3"/>
    <n v="17924"/>
    <x v="1"/>
    <s v="Jan"/>
  </r>
  <r>
    <n v="39"/>
    <x v="0"/>
    <x v="1"/>
    <m/>
    <m/>
    <s v="Travel_Rarely"/>
    <n v="1383"/>
    <x v="2"/>
    <n v="2"/>
    <n v="3"/>
    <x v="0"/>
    <n v="1"/>
    <n v="909"/>
    <m/>
    <n v="4"/>
    <x v="0"/>
    <x v="8"/>
    <x v="0"/>
    <n v="5204"/>
    <x v="1"/>
    <s v="Jan"/>
  </r>
  <r>
    <n v="33"/>
    <x v="2"/>
    <x v="1"/>
    <m/>
    <m/>
    <s v="Travel_Rarely"/>
    <n v="1075"/>
    <x v="2"/>
    <n v="3"/>
    <n v="2"/>
    <x v="5"/>
    <n v="1"/>
    <n v="910"/>
    <m/>
    <n v="4"/>
    <x v="1"/>
    <x v="8"/>
    <x v="1"/>
    <n v="2277"/>
    <x v="0"/>
    <s v="Jan"/>
  </r>
  <r>
    <n v="32"/>
    <x v="2"/>
    <x v="0"/>
    <m/>
    <m/>
    <s v="Travel_Rarely"/>
    <n v="374"/>
    <x v="1"/>
    <n v="25"/>
    <n v="4"/>
    <x v="0"/>
    <n v="1"/>
    <n v="911"/>
    <m/>
    <n v="1"/>
    <x v="1"/>
    <x v="2"/>
    <x v="0"/>
    <n v="2795"/>
    <x v="0"/>
    <s v="Jan"/>
  </r>
  <r>
    <n v="29"/>
    <x v="2"/>
    <x v="1"/>
    <m/>
    <m/>
    <s v="Travel_Rarely"/>
    <n v="1086"/>
    <x v="1"/>
    <n v="7"/>
    <n v="1"/>
    <x v="2"/>
    <n v="1"/>
    <n v="912"/>
    <m/>
    <n v="1"/>
    <x v="1"/>
    <x v="2"/>
    <x v="0"/>
    <n v="2532"/>
    <x v="1"/>
    <s v="Jan"/>
  </r>
  <r>
    <n v="44"/>
    <x v="0"/>
    <x v="1"/>
    <m/>
    <m/>
    <s v="Travel_Rarely"/>
    <n v="661"/>
    <x v="1"/>
    <n v="9"/>
    <n v="2"/>
    <x v="0"/>
    <n v="1"/>
    <n v="913"/>
    <m/>
    <n v="2"/>
    <x v="1"/>
    <x v="1"/>
    <x v="3"/>
    <n v="2559"/>
    <x v="0"/>
    <s v="Jan"/>
  </r>
  <r>
    <n v="28"/>
    <x v="2"/>
    <x v="1"/>
    <m/>
    <m/>
    <s v="Travel_Rarely"/>
    <n v="821"/>
    <x v="0"/>
    <n v="5"/>
    <n v="4"/>
    <x v="2"/>
    <n v="1"/>
    <n v="916"/>
    <m/>
    <n v="1"/>
    <x v="0"/>
    <x v="0"/>
    <x v="0"/>
    <n v="4908"/>
    <x v="1"/>
    <s v="Jan"/>
  </r>
  <r>
    <n v="58"/>
    <x v="3"/>
    <x v="0"/>
    <m/>
    <m/>
    <s v="Travel_Frequently"/>
    <n v="781"/>
    <x v="1"/>
    <n v="2"/>
    <n v="1"/>
    <x v="0"/>
    <n v="1"/>
    <n v="918"/>
    <m/>
    <n v="4"/>
    <x v="1"/>
    <x v="2"/>
    <x v="0"/>
    <n v="2380"/>
    <x v="0"/>
    <s v="Jan"/>
  </r>
  <r>
    <n v="43"/>
    <x v="0"/>
    <x v="1"/>
    <m/>
    <m/>
    <s v="Travel_Rarely"/>
    <n v="177"/>
    <x v="1"/>
    <n v="8"/>
    <n v="3"/>
    <x v="0"/>
    <n v="1"/>
    <n v="920"/>
    <m/>
    <n v="1"/>
    <x v="0"/>
    <x v="3"/>
    <x v="1"/>
    <n v="4765"/>
    <x v="1"/>
    <s v="Jan"/>
  </r>
  <r>
    <n v="20"/>
    <x v="4"/>
    <x v="0"/>
    <m/>
    <m/>
    <s v="Travel_Rarely"/>
    <n v="500"/>
    <x v="0"/>
    <n v="2"/>
    <n v="3"/>
    <x v="2"/>
    <n v="1"/>
    <n v="922"/>
    <m/>
    <n v="3"/>
    <x v="1"/>
    <x v="6"/>
    <x v="2"/>
    <n v="2044"/>
    <x v="1"/>
    <s v="Jan"/>
  </r>
  <r>
    <n v="21"/>
    <x v="4"/>
    <x v="0"/>
    <m/>
    <m/>
    <s v="Travel_Rarely"/>
    <n v="1427"/>
    <x v="1"/>
    <n v="18"/>
    <n v="1"/>
    <x v="1"/>
    <n v="1"/>
    <n v="923"/>
    <m/>
    <n v="4"/>
    <x v="1"/>
    <x v="1"/>
    <x v="0"/>
    <n v="2693"/>
    <x v="1"/>
    <s v="Jan"/>
  </r>
  <r>
    <n v="36"/>
    <x v="0"/>
    <x v="1"/>
    <m/>
    <m/>
    <s v="Travel_Rarely"/>
    <n v="1425"/>
    <x v="1"/>
    <n v="14"/>
    <n v="1"/>
    <x v="0"/>
    <n v="1"/>
    <n v="924"/>
    <m/>
    <n v="3"/>
    <x v="0"/>
    <x v="4"/>
    <x v="0"/>
    <n v="6586"/>
    <x v="0"/>
    <s v="Jan"/>
  </r>
  <r>
    <n v="47"/>
    <x v="1"/>
    <x v="1"/>
    <m/>
    <m/>
    <s v="Travel_Rarely"/>
    <n v="1454"/>
    <x v="0"/>
    <n v="2"/>
    <n v="4"/>
    <x v="0"/>
    <n v="1"/>
    <n v="925"/>
    <m/>
    <n v="4"/>
    <x v="1"/>
    <x v="6"/>
    <x v="0"/>
    <n v="3294"/>
    <x v="0"/>
    <s v="Jan"/>
  </r>
  <r>
    <n v="22"/>
    <x v="4"/>
    <x v="0"/>
    <m/>
    <m/>
    <s v="Travel_Rarely"/>
    <n v="617"/>
    <x v="1"/>
    <n v="3"/>
    <n v="1"/>
    <x v="0"/>
    <n v="1"/>
    <n v="926"/>
    <m/>
    <n v="2"/>
    <x v="0"/>
    <x v="3"/>
    <x v="2"/>
    <n v="4171"/>
    <x v="0"/>
    <s v="Jan"/>
  </r>
  <r>
    <n v="41"/>
    <x v="0"/>
    <x v="0"/>
    <m/>
    <m/>
    <s v="Travel_Rarely"/>
    <n v="1085"/>
    <x v="1"/>
    <n v="2"/>
    <n v="4"/>
    <x v="0"/>
    <n v="1"/>
    <n v="927"/>
    <m/>
    <n v="2"/>
    <x v="1"/>
    <x v="2"/>
    <x v="0"/>
    <n v="2778"/>
    <x v="0"/>
    <s v="Jan"/>
  </r>
  <r>
    <n v="28"/>
    <x v="2"/>
    <x v="1"/>
    <m/>
    <m/>
    <s v="Travel_Rarely"/>
    <n v="995"/>
    <x v="1"/>
    <n v="9"/>
    <n v="3"/>
    <x v="2"/>
    <n v="1"/>
    <n v="930"/>
    <m/>
    <n v="3"/>
    <x v="1"/>
    <x v="1"/>
    <x v="2"/>
    <n v="2377"/>
    <x v="1"/>
    <s v="Jan"/>
  </r>
  <r>
    <n v="39"/>
    <x v="0"/>
    <x v="0"/>
    <m/>
    <m/>
    <s v="Travel_Rarely"/>
    <n v="1122"/>
    <x v="1"/>
    <n v="6"/>
    <n v="3"/>
    <x v="2"/>
    <n v="1"/>
    <n v="932"/>
    <m/>
    <n v="4"/>
    <x v="1"/>
    <x v="2"/>
    <x v="3"/>
    <n v="2404"/>
    <x v="0"/>
    <s v="Jan"/>
  </r>
  <r>
    <n v="27"/>
    <x v="2"/>
    <x v="1"/>
    <m/>
    <m/>
    <s v="Travel_Rarely"/>
    <n v="618"/>
    <x v="1"/>
    <n v="4"/>
    <n v="3"/>
    <x v="0"/>
    <n v="1"/>
    <n v="933"/>
    <m/>
    <n v="2"/>
    <x v="1"/>
    <x v="1"/>
    <x v="2"/>
    <n v="2318"/>
    <x v="1"/>
    <s v="Jan"/>
  </r>
  <r>
    <n v="34"/>
    <x v="2"/>
    <x v="1"/>
    <m/>
    <m/>
    <s v="Travel_Rarely"/>
    <n v="546"/>
    <x v="1"/>
    <n v="10"/>
    <n v="3"/>
    <x v="0"/>
    <n v="1"/>
    <n v="934"/>
    <m/>
    <n v="2"/>
    <x v="1"/>
    <x v="2"/>
    <x v="1"/>
    <n v="2008"/>
    <x v="1"/>
    <s v="Jan"/>
  </r>
  <r>
    <n v="42"/>
    <x v="0"/>
    <x v="1"/>
    <m/>
    <m/>
    <s v="Travel_Rarely"/>
    <n v="462"/>
    <x v="0"/>
    <n v="14"/>
    <n v="2"/>
    <x v="2"/>
    <n v="1"/>
    <n v="936"/>
    <m/>
    <n v="3"/>
    <x v="0"/>
    <x v="0"/>
    <x v="2"/>
    <n v="6244"/>
    <x v="1"/>
    <s v="Jan"/>
  </r>
  <r>
    <n v="33"/>
    <x v="2"/>
    <x v="1"/>
    <m/>
    <m/>
    <s v="Travel_Rarely"/>
    <n v="1198"/>
    <x v="1"/>
    <n v="1"/>
    <n v="4"/>
    <x v="1"/>
    <n v="1"/>
    <n v="939"/>
    <m/>
    <n v="3"/>
    <x v="1"/>
    <x v="1"/>
    <x v="3"/>
    <n v="2799"/>
    <x v="0"/>
    <s v="Jan"/>
  </r>
  <r>
    <n v="58"/>
    <x v="3"/>
    <x v="1"/>
    <m/>
    <m/>
    <s v="Travel_Rarely"/>
    <n v="1272"/>
    <x v="1"/>
    <n v="5"/>
    <n v="3"/>
    <x v="4"/>
    <n v="1"/>
    <n v="940"/>
    <m/>
    <n v="3"/>
    <x v="2"/>
    <x v="4"/>
    <x v="1"/>
    <n v="10552"/>
    <x v="0"/>
    <s v="Jan"/>
  </r>
  <r>
    <n v="31"/>
    <x v="2"/>
    <x v="1"/>
    <m/>
    <m/>
    <s v="Travel_Rarely"/>
    <n v="154"/>
    <x v="0"/>
    <n v="7"/>
    <n v="4"/>
    <x v="0"/>
    <n v="1"/>
    <n v="941"/>
    <m/>
    <n v="2"/>
    <x v="1"/>
    <x v="6"/>
    <x v="2"/>
    <n v="2329"/>
    <x v="1"/>
    <s v="Jan"/>
  </r>
  <r>
    <n v="35"/>
    <x v="0"/>
    <x v="1"/>
    <m/>
    <m/>
    <s v="Travel_Rarely"/>
    <n v="1137"/>
    <x v="1"/>
    <n v="21"/>
    <n v="1"/>
    <x v="0"/>
    <n v="1"/>
    <n v="942"/>
    <m/>
    <n v="4"/>
    <x v="0"/>
    <x v="4"/>
    <x v="0"/>
    <n v="4014"/>
    <x v="0"/>
    <s v="Jan"/>
  </r>
  <r>
    <n v="49"/>
    <x v="1"/>
    <x v="1"/>
    <m/>
    <m/>
    <s v="Travel_Rarely"/>
    <n v="527"/>
    <x v="1"/>
    <n v="8"/>
    <n v="2"/>
    <x v="1"/>
    <n v="1"/>
    <n v="944"/>
    <m/>
    <n v="1"/>
    <x v="2"/>
    <x v="2"/>
    <x v="1"/>
    <n v="7403"/>
    <x v="1"/>
    <s v="Jan"/>
  </r>
  <r>
    <n v="48"/>
    <x v="1"/>
    <x v="1"/>
    <m/>
    <m/>
    <s v="Travel_Rarely"/>
    <n v="1469"/>
    <x v="1"/>
    <n v="20"/>
    <n v="4"/>
    <x v="2"/>
    <n v="1"/>
    <n v="945"/>
    <m/>
    <n v="4"/>
    <x v="1"/>
    <x v="1"/>
    <x v="2"/>
    <n v="2259"/>
    <x v="1"/>
    <s v="Jan"/>
  </r>
  <r>
    <n v="31"/>
    <x v="2"/>
    <x v="1"/>
    <m/>
    <m/>
    <s v="Non-Travel"/>
    <n v="1188"/>
    <x v="0"/>
    <n v="20"/>
    <n v="2"/>
    <x v="3"/>
    <n v="1"/>
    <n v="947"/>
    <m/>
    <n v="4"/>
    <x v="0"/>
    <x v="0"/>
    <x v="2"/>
    <n v="6932"/>
    <x v="1"/>
    <s v="Jan"/>
  </r>
  <r>
    <n v="36"/>
    <x v="0"/>
    <x v="1"/>
    <m/>
    <m/>
    <s v="Travel_Rarely"/>
    <n v="188"/>
    <x v="1"/>
    <n v="7"/>
    <n v="4"/>
    <x v="1"/>
    <n v="1"/>
    <n v="949"/>
    <m/>
    <n v="2"/>
    <x v="1"/>
    <x v="1"/>
    <x v="0"/>
    <n v="4678"/>
    <x v="1"/>
    <s v="Jan"/>
  </r>
  <r>
    <n v="38"/>
    <x v="0"/>
    <x v="1"/>
    <m/>
    <m/>
    <s v="Travel_Rarely"/>
    <n v="1333"/>
    <x v="1"/>
    <n v="1"/>
    <n v="3"/>
    <x v="4"/>
    <n v="1"/>
    <n v="950"/>
    <m/>
    <n v="4"/>
    <x v="2"/>
    <x v="7"/>
    <x v="3"/>
    <n v="13582"/>
    <x v="1"/>
    <s v="Jan"/>
  </r>
  <r>
    <n v="32"/>
    <x v="2"/>
    <x v="1"/>
    <m/>
    <m/>
    <s v="Non-Travel"/>
    <n v="1184"/>
    <x v="1"/>
    <n v="1"/>
    <n v="3"/>
    <x v="0"/>
    <n v="1"/>
    <n v="951"/>
    <m/>
    <n v="3"/>
    <x v="1"/>
    <x v="2"/>
    <x v="1"/>
    <n v="2332"/>
    <x v="1"/>
    <s v="Jan"/>
  </r>
  <r>
    <n v="25"/>
    <x v="2"/>
    <x v="0"/>
    <m/>
    <m/>
    <s v="Travel_Rarely"/>
    <n v="867"/>
    <x v="0"/>
    <n v="19"/>
    <n v="2"/>
    <x v="3"/>
    <n v="1"/>
    <n v="952"/>
    <m/>
    <n v="3"/>
    <x v="1"/>
    <x v="6"/>
    <x v="1"/>
    <n v="2413"/>
    <x v="0"/>
    <s v="Jan"/>
  </r>
  <r>
    <n v="40"/>
    <x v="0"/>
    <x v="1"/>
    <m/>
    <m/>
    <s v="Travel_Rarely"/>
    <n v="658"/>
    <x v="0"/>
    <n v="10"/>
    <n v="4"/>
    <x v="3"/>
    <n v="1"/>
    <n v="954"/>
    <m/>
    <n v="1"/>
    <x v="2"/>
    <x v="0"/>
    <x v="1"/>
    <n v="9705"/>
    <x v="1"/>
    <s v="Jan"/>
  </r>
  <r>
    <n v="26"/>
    <x v="2"/>
    <x v="1"/>
    <m/>
    <m/>
    <s v="Travel_Frequently"/>
    <n v="1283"/>
    <x v="0"/>
    <n v="1"/>
    <n v="3"/>
    <x v="2"/>
    <n v="1"/>
    <n v="956"/>
    <m/>
    <n v="3"/>
    <x v="0"/>
    <x v="0"/>
    <x v="3"/>
    <n v="4294"/>
    <x v="1"/>
    <s v="Jan"/>
  </r>
  <r>
    <n v="41"/>
    <x v="0"/>
    <x v="1"/>
    <m/>
    <m/>
    <s v="Travel_Rarely"/>
    <n v="263"/>
    <x v="1"/>
    <n v="6"/>
    <n v="3"/>
    <x v="2"/>
    <n v="1"/>
    <n v="957"/>
    <m/>
    <n v="4"/>
    <x v="1"/>
    <x v="2"/>
    <x v="3"/>
    <n v="4721"/>
    <x v="0"/>
    <s v="Jan"/>
  </r>
  <r>
    <n v="36"/>
    <x v="0"/>
    <x v="1"/>
    <m/>
    <m/>
    <s v="Travel_Rarely"/>
    <n v="938"/>
    <x v="1"/>
    <n v="2"/>
    <n v="4"/>
    <x v="2"/>
    <n v="1"/>
    <n v="958"/>
    <m/>
    <n v="3"/>
    <x v="1"/>
    <x v="2"/>
    <x v="2"/>
    <n v="2519"/>
    <x v="1"/>
    <s v="Jan"/>
  </r>
  <r>
    <n v="19"/>
    <x v="4"/>
    <x v="0"/>
    <m/>
    <m/>
    <s v="Travel_Rarely"/>
    <n v="419"/>
    <x v="0"/>
    <n v="21"/>
    <n v="3"/>
    <x v="1"/>
    <n v="1"/>
    <n v="959"/>
    <m/>
    <n v="4"/>
    <x v="1"/>
    <x v="6"/>
    <x v="1"/>
    <n v="2121"/>
    <x v="0"/>
    <s v="Jan"/>
  </r>
  <r>
    <n v="20"/>
    <x v="4"/>
    <x v="0"/>
    <m/>
    <m/>
    <s v="Travel_Rarely"/>
    <n v="129"/>
    <x v="1"/>
    <n v="4"/>
    <n v="3"/>
    <x v="4"/>
    <n v="1"/>
    <n v="960"/>
    <m/>
    <n v="1"/>
    <x v="1"/>
    <x v="2"/>
    <x v="3"/>
    <n v="2973"/>
    <x v="1"/>
    <s v="Jan"/>
  </r>
  <r>
    <n v="31"/>
    <x v="2"/>
    <x v="1"/>
    <m/>
    <m/>
    <s v="Travel_Rarely"/>
    <n v="616"/>
    <x v="1"/>
    <n v="12"/>
    <n v="3"/>
    <x v="2"/>
    <n v="1"/>
    <n v="961"/>
    <m/>
    <n v="4"/>
    <x v="0"/>
    <x v="4"/>
    <x v="0"/>
    <n v="5855"/>
    <x v="0"/>
    <s v="Jan"/>
  </r>
  <r>
    <n v="40"/>
    <x v="0"/>
    <x v="1"/>
    <m/>
    <m/>
    <s v="Travel_Frequently"/>
    <n v="1469"/>
    <x v="1"/>
    <n v="9"/>
    <n v="4"/>
    <x v="2"/>
    <n v="1"/>
    <n v="964"/>
    <m/>
    <n v="4"/>
    <x v="1"/>
    <x v="1"/>
    <x v="1"/>
    <n v="3617"/>
    <x v="0"/>
    <s v="Jan"/>
  </r>
  <r>
    <n v="32"/>
    <x v="2"/>
    <x v="1"/>
    <m/>
    <m/>
    <s v="Travel_Rarely"/>
    <n v="498"/>
    <x v="1"/>
    <n v="3"/>
    <n v="4"/>
    <x v="2"/>
    <n v="1"/>
    <n v="966"/>
    <m/>
    <n v="3"/>
    <x v="0"/>
    <x v="3"/>
    <x v="3"/>
    <n v="6725"/>
    <x v="1"/>
    <s v="Jan"/>
  </r>
  <r>
    <n v="36"/>
    <x v="0"/>
    <x v="0"/>
    <m/>
    <m/>
    <s v="Travel_Rarely"/>
    <n v="530"/>
    <x v="0"/>
    <n v="3"/>
    <n v="1"/>
    <x v="0"/>
    <n v="1"/>
    <n v="967"/>
    <m/>
    <n v="3"/>
    <x v="2"/>
    <x v="0"/>
    <x v="0"/>
    <n v="10325"/>
    <x v="0"/>
    <s v="Jan"/>
  </r>
  <r>
    <n v="33"/>
    <x v="2"/>
    <x v="1"/>
    <m/>
    <m/>
    <s v="Travel_Rarely"/>
    <n v="1069"/>
    <x v="1"/>
    <n v="1"/>
    <n v="3"/>
    <x v="0"/>
    <n v="1"/>
    <n v="969"/>
    <m/>
    <n v="2"/>
    <x v="0"/>
    <x v="4"/>
    <x v="0"/>
    <n v="6949"/>
    <x v="1"/>
    <s v="Jan"/>
  </r>
  <r>
    <n v="37"/>
    <x v="0"/>
    <x v="0"/>
    <m/>
    <m/>
    <s v="Travel_Rarely"/>
    <n v="625"/>
    <x v="0"/>
    <n v="1"/>
    <n v="4"/>
    <x v="0"/>
    <n v="1"/>
    <n v="970"/>
    <m/>
    <n v="1"/>
    <x v="2"/>
    <x v="0"/>
    <x v="2"/>
    <n v="10609"/>
    <x v="1"/>
    <s v="Jan"/>
  </r>
  <r>
    <n v="45"/>
    <x v="1"/>
    <x v="1"/>
    <m/>
    <m/>
    <s v="Non-Travel"/>
    <n v="805"/>
    <x v="1"/>
    <n v="4"/>
    <n v="2"/>
    <x v="0"/>
    <n v="1"/>
    <n v="972"/>
    <m/>
    <n v="3"/>
    <x v="0"/>
    <x v="2"/>
    <x v="1"/>
    <n v="4447"/>
    <x v="1"/>
    <s v="Jan"/>
  </r>
  <r>
    <n v="29"/>
    <x v="2"/>
    <x v="1"/>
    <m/>
    <m/>
    <s v="Travel_Frequently"/>
    <n v="1404"/>
    <x v="0"/>
    <n v="20"/>
    <n v="3"/>
    <x v="4"/>
    <n v="1"/>
    <n v="974"/>
    <m/>
    <n v="3"/>
    <x v="1"/>
    <x v="6"/>
    <x v="0"/>
    <n v="2157"/>
    <x v="1"/>
    <s v="Jan"/>
  </r>
  <r>
    <n v="35"/>
    <x v="0"/>
    <x v="1"/>
    <m/>
    <m/>
    <s v="Travel_Rarely"/>
    <n v="1219"/>
    <x v="0"/>
    <n v="18"/>
    <n v="3"/>
    <x v="2"/>
    <n v="1"/>
    <n v="975"/>
    <m/>
    <n v="3"/>
    <x v="0"/>
    <x v="0"/>
    <x v="2"/>
    <n v="4601"/>
    <x v="1"/>
    <s v="Jan"/>
  </r>
  <r>
    <n v="52"/>
    <x v="1"/>
    <x v="1"/>
    <m/>
    <m/>
    <s v="Travel_Rarely"/>
    <n v="1053"/>
    <x v="1"/>
    <n v="1"/>
    <n v="2"/>
    <x v="0"/>
    <n v="1"/>
    <n v="976"/>
    <m/>
    <n v="4"/>
    <x v="3"/>
    <x v="5"/>
    <x v="0"/>
    <n v="17099"/>
    <x v="1"/>
    <s v="Jan"/>
  </r>
  <r>
    <n v="58"/>
    <x v="3"/>
    <x v="0"/>
    <m/>
    <m/>
    <s v="Travel_Rarely"/>
    <n v="289"/>
    <x v="1"/>
    <n v="2"/>
    <n v="3"/>
    <x v="4"/>
    <n v="1"/>
    <n v="977"/>
    <m/>
    <n v="4"/>
    <x v="1"/>
    <x v="1"/>
    <x v="2"/>
    <n v="2479"/>
    <x v="1"/>
    <s v="Jan"/>
  </r>
  <r>
    <n v="53"/>
    <x v="1"/>
    <x v="1"/>
    <m/>
    <m/>
    <s v="Travel_Rarely"/>
    <n v="1376"/>
    <x v="0"/>
    <n v="2"/>
    <n v="2"/>
    <x v="2"/>
    <n v="1"/>
    <n v="981"/>
    <m/>
    <n v="3"/>
    <x v="3"/>
    <x v="5"/>
    <x v="2"/>
    <n v="14852"/>
    <x v="1"/>
    <s v="Jan"/>
  </r>
  <r>
    <n v="30"/>
    <x v="2"/>
    <x v="1"/>
    <m/>
    <m/>
    <s v="Travel_Rarely"/>
    <n v="231"/>
    <x v="0"/>
    <n v="8"/>
    <n v="2"/>
    <x v="1"/>
    <n v="1"/>
    <n v="982"/>
    <m/>
    <n v="3"/>
    <x v="2"/>
    <x v="0"/>
    <x v="2"/>
    <n v="7264"/>
    <x v="1"/>
    <s v="Jan"/>
  </r>
  <r>
    <n v="38"/>
    <x v="0"/>
    <x v="1"/>
    <m/>
    <m/>
    <s v="Non-Travel"/>
    <n v="152"/>
    <x v="0"/>
    <n v="10"/>
    <n v="3"/>
    <x v="4"/>
    <n v="1"/>
    <n v="983"/>
    <m/>
    <n v="3"/>
    <x v="0"/>
    <x v="0"/>
    <x v="0"/>
    <n v="5666"/>
    <x v="0"/>
    <s v="Jan"/>
  </r>
  <r>
    <n v="35"/>
    <x v="0"/>
    <x v="1"/>
    <m/>
    <m/>
    <s v="Travel_Rarely"/>
    <n v="882"/>
    <x v="0"/>
    <n v="3"/>
    <n v="4"/>
    <x v="0"/>
    <n v="1"/>
    <n v="984"/>
    <m/>
    <n v="4"/>
    <x v="2"/>
    <x v="0"/>
    <x v="0"/>
    <n v="7823"/>
    <x v="1"/>
    <s v="Jan"/>
  </r>
  <r>
    <n v="39"/>
    <x v="0"/>
    <x v="1"/>
    <m/>
    <m/>
    <s v="Travel_Rarely"/>
    <n v="903"/>
    <x v="0"/>
    <n v="2"/>
    <n v="5"/>
    <x v="0"/>
    <n v="1"/>
    <n v="985"/>
    <m/>
    <n v="1"/>
    <x v="2"/>
    <x v="0"/>
    <x v="2"/>
    <n v="7880"/>
    <x v="1"/>
    <s v="Jan"/>
  </r>
  <r>
    <n v="40"/>
    <x v="0"/>
    <x v="0"/>
    <m/>
    <m/>
    <s v="Non-Travel"/>
    <n v="1479"/>
    <x v="0"/>
    <n v="24"/>
    <n v="3"/>
    <x v="0"/>
    <n v="1"/>
    <n v="986"/>
    <m/>
    <n v="2"/>
    <x v="3"/>
    <x v="0"/>
    <x v="1"/>
    <n v="13194"/>
    <x v="0"/>
    <s v="Jan"/>
  </r>
  <r>
    <n v="47"/>
    <x v="1"/>
    <x v="1"/>
    <m/>
    <m/>
    <s v="Travel_Frequently"/>
    <n v="1379"/>
    <x v="1"/>
    <n v="16"/>
    <n v="4"/>
    <x v="2"/>
    <n v="1"/>
    <n v="987"/>
    <m/>
    <n v="3"/>
    <x v="0"/>
    <x v="3"/>
    <x v="2"/>
    <n v="5067"/>
    <x v="0"/>
    <s v="Jan"/>
  </r>
  <r>
    <n v="36"/>
    <x v="0"/>
    <x v="1"/>
    <m/>
    <m/>
    <s v="Non-Travel"/>
    <n v="1229"/>
    <x v="0"/>
    <n v="8"/>
    <n v="4"/>
    <x v="4"/>
    <n v="1"/>
    <n v="990"/>
    <m/>
    <n v="1"/>
    <x v="0"/>
    <x v="0"/>
    <x v="0"/>
    <n v="5079"/>
    <x v="1"/>
    <s v="Jan"/>
  </r>
  <r>
    <n v="31"/>
    <x v="2"/>
    <x v="0"/>
    <m/>
    <m/>
    <s v="Non-Travel"/>
    <n v="335"/>
    <x v="1"/>
    <n v="9"/>
    <n v="2"/>
    <x v="2"/>
    <n v="1"/>
    <n v="991"/>
    <m/>
    <n v="3"/>
    <x v="1"/>
    <x v="1"/>
    <x v="3"/>
    <n v="2321"/>
    <x v="0"/>
    <s v="Jan"/>
  </r>
  <r>
    <n v="33"/>
    <x v="2"/>
    <x v="1"/>
    <m/>
    <m/>
    <s v="Non-Travel"/>
    <n v="722"/>
    <x v="0"/>
    <n v="17"/>
    <n v="3"/>
    <x v="0"/>
    <n v="1"/>
    <n v="992"/>
    <m/>
    <n v="4"/>
    <x v="3"/>
    <x v="5"/>
    <x v="2"/>
    <n v="17444"/>
    <x v="1"/>
    <s v="Jan"/>
  </r>
  <r>
    <n v="29"/>
    <x v="2"/>
    <x v="0"/>
    <m/>
    <m/>
    <s v="Travel_Rarely"/>
    <n v="906"/>
    <x v="1"/>
    <n v="10"/>
    <n v="3"/>
    <x v="0"/>
    <n v="1"/>
    <n v="994"/>
    <m/>
    <n v="4"/>
    <x v="1"/>
    <x v="1"/>
    <x v="3"/>
    <n v="2404"/>
    <x v="0"/>
    <s v="Jan"/>
  </r>
  <r>
    <n v="33"/>
    <x v="2"/>
    <x v="1"/>
    <m/>
    <m/>
    <s v="Travel_Rarely"/>
    <n v="461"/>
    <x v="1"/>
    <n v="13"/>
    <n v="1"/>
    <x v="0"/>
    <n v="1"/>
    <n v="995"/>
    <m/>
    <n v="2"/>
    <x v="1"/>
    <x v="1"/>
    <x v="0"/>
    <n v="3452"/>
    <x v="1"/>
    <s v="Jan"/>
  </r>
  <r>
    <n v="45"/>
    <x v="1"/>
    <x v="1"/>
    <m/>
    <m/>
    <s v="Travel_Rarely"/>
    <n v="974"/>
    <x v="1"/>
    <n v="1"/>
    <n v="4"/>
    <x v="2"/>
    <n v="1"/>
    <n v="996"/>
    <m/>
    <n v="4"/>
    <x v="1"/>
    <x v="2"/>
    <x v="0"/>
    <n v="2270"/>
    <x v="1"/>
    <s v="Jan"/>
  </r>
  <r>
    <n v="50"/>
    <x v="1"/>
    <x v="1"/>
    <m/>
    <m/>
    <s v="Travel_Rarely"/>
    <n v="1126"/>
    <x v="1"/>
    <n v="1"/>
    <n v="2"/>
    <x v="2"/>
    <n v="1"/>
    <n v="997"/>
    <m/>
    <n v="4"/>
    <x v="3"/>
    <x v="7"/>
    <x v="0"/>
    <n v="17399"/>
    <x v="1"/>
    <s v="Jan"/>
  </r>
  <r>
    <n v="33"/>
    <x v="2"/>
    <x v="1"/>
    <m/>
    <m/>
    <s v="Travel_Frequently"/>
    <n v="827"/>
    <x v="1"/>
    <n v="1"/>
    <n v="4"/>
    <x v="1"/>
    <n v="1"/>
    <n v="998"/>
    <m/>
    <n v="3"/>
    <x v="0"/>
    <x v="4"/>
    <x v="1"/>
    <n v="5488"/>
    <x v="0"/>
    <s v="Jan"/>
  </r>
  <r>
    <n v="41"/>
    <x v="0"/>
    <x v="1"/>
    <m/>
    <m/>
    <s v="Travel_Frequently"/>
    <n v="840"/>
    <x v="1"/>
    <n v="9"/>
    <n v="3"/>
    <x v="2"/>
    <n v="1"/>
    <n v="999"/>
    <m/>
    <n v="1"/>
    <x v="4"/>
    <x v="7"/>
    <x v="2"/>
    <n v="19419"/>
    <x v="1"/>
    <s v="Jan"/>
  </r>
  <r>
    <n v="27"/>
    <x v="2"/>
    <x v="1"/>
    <m/>
    <m/>
    <s v="Travel_Rarely"/>
    <n v="1134"/>
    <x v="1"/>
    <n v="16"/>
    <n v="4"/>
    <x v="4"/>
    <n v="1"/>
    <n v="1001"/>
    <m/>
    <n v="3"/>
    <x v="1"/>
    <x v="2"/>
    <x v="1"/>
    <n v="2811"/>
    <x v="1"/>
    <s v="Jan"/>
  </r>
  <r>
    <n v="45"/>
    <x v="1"/>
    <x v="1"/>
    <m/>
    <m/>
    <s v="Non-Travel"/>
    <n v="248"/>
    <x v="1"/>
    <n v="23"/>
    <n v="2"/>
    <x v="0"/>
    <n v="1"/>
    <n v="1002"/>
    <m/>
    <n v="4"/>
    <x v="0"/>
    <x v="2"/>
    <x v="3"/>
    <n v="3633"/>
    <x v="0"/>
    <s v="Jan"/>
  </r>
  <r>
    <n v="47"/>
    <x v="1"/>
    <x v="1"/>
    <m/>
    <m/>
    <s v="Travel_Rarely"/>
    <n v="955"/>
    <x v="0"/>
    <n v="4"/>
    <n v="2"/>
    <x v="0"/>
    <n v="1"/>
    <n v="1003"/>
    <m/>
    <n v="4"/>
    <x v="0"/>
    <x v="0"/>
    <x v="0"/>
    <n v="4163"/>
    <x v="0"/>
    <s v="Jan"/>
  </r>
  <r>
    <n v="30"/>
    <x v="2"/>
    <x v="0"/>
    <m/>
    <m/>
    <s v="Travel_Rarely"/>
    <n v="138"/>
    <x v="1"/>
    <n v="22"/>
    <n v="3"/>
    <x v="0"/>
    <n v="1"/>
    <n v="1004"/>
    <m/>
    <n v="1"/>
    <x v="1"/>
    <x v="1"/>
    <x v="2"/>
    <n v="2132"/>
    <x v="0"/>
    <s v="Jan"/>
  </r>
  <r>
    <n v="50"/>
    <x v="1"/>
    <x v="1"/>
    <m/>
    <m/>
    <s v="Travel_Rarely"/>
    <n v="939"/>
    <x v="1"/>
    <n v="24"/>
    <n v="3"/>
    <x v="0"/>
    <n v="1"/>
    <n v="1005"/>
    <m/>
    <n v="4"/>
    <x v="3"/>
    <x v="3"/>
    <x v="2"/>
    <n v="13973"/>
    <x v="0"/>
    <s v="Jan"/>
  </r>
  <r>
    <n v="38"/>
    <x v="0"/>
    <x v="1"/>
    <m/>
    <m/>
    <s v="Travel_Frequently"/>
    <n v="1391"/>
    <x v="1"/>
    <n v="10"/>
    <n v="1"/>
    <x v="2"/>
    <n v="1"/>
    <n v="1006"/>
    <m/>
    <n v="3"/>
    <x v="1"/>
    <x v="1"/>
    <x v="2"/>
    <n v="2684"/>
    <x v="1"/>
    <s v="Jan"/>
  </r>
  <r>
    <n v="46"/>
    <x v="1"/>
    <x v="1"/>
    <m/>
    <m/>
    <s v="Travel_Rarely"/>
    <n v="566"/>
    <x v="1"/>
    <n v="7"/>
    <n v="2"/>
    <x v="2"/>
    <n v="1"/>
    <n v="1007"/>
    <m/>
    <n v="4"/>
    <x v="2"/>
    <x v="3"/>
    <x v="2"/>
    <n v="10845"/>
    <x v="1"/>
    <s v="Jan"/>
  </r>
  <r>
    <n v="24"/>
    <x v="4"/>
    <x v="1"/>
    <m/>
    <m/>
    <s v="Travel_Rarely"/>
    <n v="1206"/>
    <x v="1"/>
    <n v="17"/>
    <n v="1"/>
    <x v="2"/>
    <n v="1"/>
    <n v="1009"/>
    <m/>
    <n v="4"/>
    <x v="0"/>
    <x v="3"/>
    <x v="2"/>
    <n v="4377"/>
    <x v="1"/>
    <s v="Jan"/>
  </r>
  <r>
    <n v="35"/>
    <x v="0"/>
    <x v="0"/>
    <m/>
    <m/>
    <s v="Travel_Rarely"/>
    <n v="622"/>
    <x v="1"/>
    <n v="14"/>
    <n v="4"/>
    <x v="1"/>
    <n v="1"/>
    <n v="1010"/>
    <m/>
    <n v="3"/>
    <x v="1"/>
    <x v="2"/>
    <x v="1"/>
    <n v="3743"/>
    <x v="0"/>
    <s v="Jan"/>
  </r>
  <r>
    <n v="31"/>
    <x v="2"/>
    <x v="1"/>
    <m/>
    <m/>
    <s v="Travel_Frequently"/>
    <n v="853"/>
    <x v="1"/>
    <n v="1"/>
    <n v="1"/>
    <x v="0"/>
    <n v="1"/>
    <n v="1011"/>
    <m/>
    <n v="3"/>
    <x v="0"/>
    <x v="3"/>
    <x v="3"/>
    <n v="4148"/>
    <x v="1"/>
    <s v="Jan"/>
  </r>
  <r>
    <n v="18"/>
    <x v="4"/>
    <x v="1"/>
    <m/>
    <m/>
    <s v="Non-Travel"/>
    <n v="287"/>
    <x v="1"/>
    <n v="5"/>
    <n v="2"/>
    <x v="0"/>
    <n v="1"/>
    <n v="1012"/>
    <m/>
    <n v="2"/>
    <x v="1"/>
    <x v="1"/>
    <x v="0"/>
    <n v="1051"/>
    <x v="1"/>
    <s v="Jan"/>
  </r>
  <r>
    <n v="54"/>
    <x v="1"/>
    <x v="1"/>
    <m/>
    <m/>
    <s v="Travel_Rarely"/>
    <n v="1441"/>
    <x v="1"/>
    <n v="17"/>
    <n v="3"/>
    <x v="4"/>
    <n v="1"/>
    <n v="1013"/>
    <m/>
    <n v="3"/>
    <x v="2"/>
    <x v="3"/>
    <x v="2"/>
    <n v="10739"/>
    <x v="1"/>
    <s v="Jan"/>
  </r>
  <r>
    <n v="35"/>
    <x v="0"/>
    <x v="1"/>
    <m/>
    <m/>
    <s v="Travel_Rarely"/>
    <n v="583"/>
    <x v="1"/>
    <n v="25"/>
    <n v="4"/>
    <x v="2"/>
    <n v="1"/>
    <n v="1014"/>
    <m/>
    <n v="3"/>
    <x v="2"/>
    <x v="4"/>
    <x v="2"/>
    <n v="10388"/>
    <x v="0"/>
    <s v="Jan"/>
  </r>
  <r>
    <n v="30"/>
    <x v="2"/>
    <x v="1"/>
    <m/>
    <m/>
    <s v="Travel_Rarely"/>
    <n v="153"/>
    <x v="1"/>
    <n v="8"/>
    <n v="2"/>
    <x v="0"/>
    <n v="1"/>
    <n v="1015"/>
    <m/>
    <n v="2"/>
    <x v="2"/>
    <x v="7"/>
    <x v="3"/>
    <n v="11416"/>
    <x v="0"/>
    <s v="Jan"/>
  </r>
  <r>
    <n v="20"/>
    <x v="4"/>
    <x v="0"/>
    <m/>
    <m/>
    <s v="Travel_Rarely"/>
    <n v="1097"/>
    <x v="1"/>
    <n v="11"/>
    <n v="3"/>
    <x v="2"/>
    <n v="1"/>
    <n v="1016"/>
    <m/>
    <n v="4"/>
    <x v="1"/>
    <x v="1"/>
    <x v="3"/>
    <n v="2600"/>
    <x v="0"/>
    <s v="Jan"/>
  </r>
  <r>
    <n v="30"/>
    <x v="2"/>
    <x v="0"/>
    <m/>
    <m/>
    <s v="Travel_Frequently"/>
    <n v="109"/>
    <x v="1"/>
    <n v="5"/>
    <n v="3"/>
    <x v="2"/>
    <n v="1"/>
    <n v="1017"/>
    <m/>
    <n v="2"/>
    <x v="1"/>
    <x v="2"/>
    <x v="1"/>
    <n v="2422"/>
    <x v="1"/>
    <s v="Jan"/>
  </r>
  <r>
    <n v="26"/>
    <x v="2"/>
    <x v="1"/>
    <m/>
    <m/>
    <s v="Travel_Rarely"/>
    <n v="1066"/>
    <x v="1"/>
    <n v="2"/>
    <n v="2"/>
    <x v="2"/>
    <n v="1"/>
    <n v="1018"/>
    <m/>
    <n v="4"/>
    <x v="0"/>
    <x v="3"/>
    <x v="0"/>
    <n v="5472"/>
    <x v="1"/>
    <s v="Jan"/>
  </r>
  <r>
    <n v="22"/>
    <x v="4"/>
    <x v="1"/>
    <m/>
    <m/>
    <s v="Travel_Rarely"/>
    <n v="217"/>
    <x v="1"/>
    <n v="8"/>
    <n v="1"/>
    <x v="0"/>
    <n v="1"/>
    <n v="1019"/>
    <m/>
    <n v="2"/>
    <x v="1"/>
    <x v="2"/>
    <x v="3"/>
    <n v="2451"/>
    <x v="1"/>
    <s v="Jan"/>
  </r>
  <r>
    <n v="48"/>
    <x v="1"/>
    <x v="1"/>
    <m/>
    <m/>
    <s v="Travel_Rarely"/>
    <n v="277"/>
    <x v="1"/>
    <n v="6"/>
    <n v="3"/>
    <x v="0"/>
    <n v="1"/>
    <n v="1022"/>
    <m/>
    <n v="1"/>
    <x v="0"/>
    <x v="4"/>
    <x v="2"/>
    <n v="4240"/>
    <x v="1"/>
    <s v="Jan"/>
  </r>
  <r>
    <n v="48"/>
    <x v="1"/>
    <x v="1"/>
    <m/>
    <m/>
    <s v="Travel_Rarely"/>
    <n v="1355"/>
    <x v="1"/>
    <n v="4"/>
    <n v="4"/>
    <x v="0"/>
    <n v="1"/>
    <n v="1024"/>
    <m/>
    <n v="3"/>
    <x v="2"/>
    <x v="4"/>
    <x v="2"/>
    <n v="10999"/>
    <x v="1"/>
    <s v="Jan"/>
  </r>
  <r>
    <n v="41"/>
    <x v="0"/>
    <x v="1"/>
    <m/>
    <m/>
    <s v="Travel_Rarely"/>
    <n v="549"/>
    <x v="1"/>
    <n v="7"/>
    <n v="2"/>
    <x v="2"/>
    <n v="1"/>
    <n v="1025"/>
    <m/>
    <n v="4"/>
    <x v="0"/>
    <x v="3"/>
    <x v="2"/>
    <n v="5003"/>
    <x v="1"/>
    <s v="Jan"/>
  </r>
  <r>
    <n v="39"/>
    <x v="0"/>
    <x v="1"/>
    <m/>
    <m/>
    <s v="Travel_Rarely"/>
    <n v="466"/>
    <x v="1"/>
    <n v="1"/>
    <n v="1"/>
    <x v="0"/>
    <n v="1"/>
    <n v="1026"/>
    <m/>
    <n v="4"/>
    <x v="3"/>
    <x v="3"/>
    <x v="0"/>
    <n v="12742"/>
    <x v="1"/>
    <s v="Jan"/>
  </r>
  <r>
    <n v="27"/>
    <x v="2"/>
    <x v="1"/>
    <m/>
    <m/>
    <s v="Travel_Rarely"/>
    <n v="1055"/>
    <x v="1"/>
    <n v="2"/>
    <n v="4"/>
    <x v="0"/>
    <n v="1"/>
    <n v="1027"/>
    <m/>
    <n v="1"/>
    <x v="0"/>
    <x v="3"/>
    <x v="0"/>
    <n v="4227"/>
    <x v="1"/>
    <s v="Jan"/>
  </r>
  <r>
    <n v="35"/>
    <x v="0"/>
    <x v="1"/>
    <m/>
    <m/>
    <s v="Travel_Rarely"/>
    <n v="802"/>
    <x v="1"/>
    <n v="10"/>
    <n v="3"/>
    <x v="1"/>
    <n v="1"/>
    <n v="1028"/>
    <m/>
    <n v="2"/>
    <x v="1"/>
    <x v="2"/>
    <x v="0"/>
    <n v="3917"/>
    <x v="1"/>
    <s v="Jan"/>
  </r>
  <r>
    <n v="42"/>
    <x v="0"/>
    <x v="1"/>
    <m/>
    <m/>
    <s v="Travel_Rarely"/>
    <n v="265"/>
    <x v="0"/>
    <n v="5"/>
    <n v="2"/>
    <x v="3"/>
    <n v="1"/>
    <n v="1029"/>
    <m/>
    <n v="4"/>
    <x v="4"/>
    <x v="5"/>
    <x v="2"/>
    <n v="18303"/>
    <x v="1"/>
    <s v="Jan"/>
  </r>
  <r>
    <n v="50"/>
    <x v="1"/>
    <x v="1"/>
    <m/>
    <m/>
    <s v="Travel_Rarely"/>
    <n v="804"/>
    <x v="1"/>
    <n v="9"/>
    <n v="3"/>
    <x v="0"/>
    <n v="1"/>
    <n v="1030"/>
    <m/>
    <n v="1"/>
    <x v="1"/>
    <x v="2"/>
    <x v="0"/>
    <n v="2380"/>
    <x v="1"/>
    <s v="Jan"/>
  </r>
  <r>
    <n v="59"/>
    <x v="3"/>
    <x v="1"/>
    <m/>
    <m/>
    <s v="Travel_Rarely"/>
    <n v="715"/>
    <x v="1"/>
    <n v="2"/>
    <n v="3"/>
    <x v="0"/>
    <n v="1"/>
    <n v="1032"/>
    <m/>
    <n v="3"/>
    <x v="3"/>
    <x v="3"/>
    <x v="0"/>
    <n v="13726"/>
    <x v="0"/>
    <s v="Jan"/>
  </r>
  <r>
    <n v="37"/>
    <x v="0"/>
    <x v="0"/>
    <m/>
    <m/>
    <s v="Travel_Rarely"/>
    <n v="1141"/>
    <x v="1"/>
    <n v="11"/>
    <n v="2"/>
    <x v="2"/>
    <n v="1"/>
    <n v="1033"/>
    <m/>
    <n v="1"/>
    <x v="0"/>
    <x v="4"/>
    <x v="1"/>
    <n v="4777"/>
    <x v="1"/>
    <s v="Jan"/>
  </r>
  <r>
    <n v="55"/>
    <x v="3"/>
    <x v="1"/>
    <m/>
    <m/>
    <s v="Travel_Frequently"/>
    <n v="135"/>
    <x v="1"/>
    <n v="18"/>
    <n v="4"/>
    <x v="2"/>
    <n v="1"/>
    <n v="1034"/>
    <m/>
    <n v="3"/>
    <x v="0"/>
    <x v="4"/>
    <x v="1"/>
    <n v="6385"/>
    <x v="0"/>
    <s v="Jan"/>
  </r>
  <r>
    <n v="41"/>
    <x v="0"/>
    <x v="1"/>
    <m/>
    <m/>
    <s v="Non-Travel"/>
    <n v="247"/>
    <x v="1"/>
    <n v="7"/>
    <n v="1"/>
    <x v="0"/>
    <n v="1"/>
    <n v="1035"/>
    <m/>
    <n v="2"/>
    <x v="4"/>
    <x v="7"/>
    <x v="2"/>
    <n v="19973"/>
    <x v="1"/>
    <s v="Jan"/>
  </r>
  <r>
    <n v="38"/>
    <x v="0"/>
    <x v="1"/>
    <m/>
    <m/>
    <s v="Travel_Rarely"/>
    <n v="1035"/>
    <x v="0"/>
    <n v="3"/>
    <n v="4"/>
    <x v="0"/>
    <n v="1"/>
    <n v="1036"/>
    <m/>
    <n v="2"/>
    <x v="0"/>
    <x v="0"/>
    <x v="0"/>
    <n v="6861"/>
    <x v="0"/>
    <s v="Jan"/>
  </r>
  <r>
    <n v="26"/>
    <x v="2"/>
    <x v="0"/>
    <m/>
    <m/>
    <s v="Non-Travel"/>
    <n v="265"/>
    <x v="0"/>
    <n v="29"/>
    <n v="2"/>
    <x v="2"/>
    <n v="1"/>
    <n v="1037"/>
    <m/>
    <n v="2"/>
    <x v="0"/>
    <x v="0"/>
    <x v="3"/>
    <n v="4969"/>
    <x v="1"/>
    <s v="Jan"/>
  </r>
  <r>
    <n v="52"/>
    <x v="1"/>
    <x v="0"/>
    <m/>
    <m/>
    <s v="Travel_Rarely"/>
    <n v="266"/>
    <x v="0"/>
    <n v="2"/>
    <n v="1"/>
    <x v="3"/>
    <n v="1"/>
    <n v="1038"/>
    <m/>
    <n v="1"/>
    <x v="4"/>
    <x v="5"/>
    <x v="0"/>
    <n v="19845"/>
    <x v="1"/>
    <s v="Jan"/>
  </r>
  <r>
    <n v="44"/>
    <x v="0"/>
    <x v="1"/>
    <m/>
    <m/>
    <s v="Travel_Rarely"/>
    <n v="1448"/>
    <x v="0"/>
    <n v="28"/>
    <n v="3"/>
    <x v="2"/>
    <n v="1"/>
    <n v="1039"/>
    <m/>
    <n v="4"/>
    <x v="3"/>
    <x v="0"/>
    <x v="0"/>
    <n v="13320"/>
    <x v="0"/>
    <s v="Jan"/>
  </r>
  <r>
    <n v="50"/>
    <x v="1"/>
    <x v="1"/>
    <m/>
    <m/>
    <s v="Non-Travel"/>
    <n v="145"/>
    <x v="0"/>
    <n v="1"/>
    <n v="3"/>
    <x v="0"/>
    <n v="1"/>
    <n v="1040"/>
    <m/>
    <n v="4"/>
    <x v="0"/>
    <x v="0"/>
    <x v="2"/>
    <n v="6347"/>
    <x v="1"/>
    <s v="Jan"/>
  </r>
  <r>
    <n v="36"/>
    <x v="0"/>
    <x v="0"/>
    <m/>
    <m/>
    <s v="Travel_Rarely"/>
    <n v="885"/>
    <x v="1"/>
    <n v="16"/>
    <n v="4"/>
    <x v="0"/>
    <n v="1"/>
    <n v="1042"/>
    <m/>
    <n v="3"/>
    <x v="1"/>
    <x v="2"/>
    <x v="3"/>
    <n v="2743"/>
    <x v="1"/>
    <s v="Jan"/>
  </r>
  <r>
    <n v="39"/>
    <x v="0"/>
    <x v="1"/>
    <m/>
    <m/>
    <s v="Travel_Frequently"/>
    <n v="945"/>
    <x v="1"/>
    <n v="22"/>
    <n v="3"/>
    <x v="2"/>
    <n v="1"/>
    <n v="1043"/>
    <m/>
    <n v="4"/>
    <x v="2"/>
    <x v="3"/>
    <x v="3"/>
    <n v="10880"/>
    <x v="0"/>
    <s v="Jan"/>
  </r>
  <r>
    <n v="33"/>
    <x v="2"/>
    <x v="1"/>
    <m/>
    <m/>
    <s v="Non-Travel"/>
    <n v="1038"/>
    <x v="0"/>
    <n v="8"/>
    <n v="1"/>
    <x v="0"/>
    <n v="1"/>
    <n v="1044"/>
    <m/>
    <n v="2"/>
    <x v="1"/>
    <x v="6"/>
    <x v="0"/>
    <n v="2342"/>
    <x v="1"/>
    <s v="Jan"/>
  </r>
  <r>
    <n v="45"/>
    <x v="1"/>
    <x v="1"/>
    <m/>
    <m/>
    <s v="Travel_Rarely"/>
    <n v="1234"/>
    <x v="0"/>
    <n v="11"/>
    <n v="2"/>
    <x v="0"/>
    <n v="1"/>
    <n v="1045"/>
    <m/>
    <n v="4"/>
    <x v="3"/>
    <x v="5"/>
    <x v="0"/>
    <n v="17650"/>
    <x v="1"/>
    <s v="Jan"/>
  </r>
  <r>
    <n v="32"/>
    <x v="2"/>
    <x v="1"/>
    <m/>
    <m/>
    <s v="Non-Travel"/>
    <n v="1109"/>
    <x v="1"/>
    <n v="29"/>
    <n v="4"/>
    <x v="2"/>
    <n v="1"/>
    <n v="1046"/>
    <m/>
    <n v="4"/>
    <x v="1"/>
    <x v="2"/>
    <x v="2"/>
    <n v="4025"/>
    <x v="1"/>
    <s v="Jan"/>
  </r>
  <r>
    <n v="34"/>
    <x v="2"/>
    <x v="1"/>
    <m/>
    <m/>
    <s v="Travel_Rarely"/>
    <n v="216"/>
    <x v="0"/>
    <n v="1"/>
    <n v="4"/>
    <x v="3"/>
    <n v="1"/>
    <n v="1047"/>
    <m/>
    <n v="2"/>
    <x v="0"/>
    <x v="0"/>
    <x v="0"/>
    <n v="9725"/>
    <x v="1"/>
    <s v="Jan"/>
  </r>
  <r>
    <n v="59"/>
    <x v="3"/>
    <x v="1"/>
    <m/>
    <m/>
    <s v="Travel_Rarely"/>
    <n v="1089"/>
    <x v="0"/>
    <n v="1"/>
    <n v="2"/>
    <x v="4"/>
    <n v="1"/>
    <n v="1048"/>
    <m/>
    <n v="2"/>
    <x v="2"/>
    <x v="5"/>
    <x v="0"/>
    <n v="11904"/>
    <x v="0"/>
    <s v="Jan"/>
  </r>
  <r>
    <n v="45"/>
    <x v="1"/>
    <x v="1"/>
    <m/>
    <m/>
    <s v="Travel_Rarely"/>
    <n v="788"/>
    <x v="2"/>
    <n v="24"/>
    <n v="4"/>
    <x v="2"/>
    <n v="1"/>
    <n v="1049"/>
    <m/>
    <n v="2"/>
    <x v="1"/>
    <x v="8"/>
    <x v="1"/>
    <n v="2177"/>
    <x v="1"/>
    <s v="Jan"/>
  </r>
  <r>
    <n v="53"/>
    <x v="1"/>
    <x v="1"/>
    <m/>
    <m/>
    <s v="Travel_Frequently"/>
    <n v="124"/>
    <x v="0"/>
    <n v="2"/>
    <n v="3"/>
    <x v="3"/>
    <n v="1"/>
    <n v="1050"/>
    <m/>
    <n v="3"/>
    <x v="2"/>
    <x v="0"/>
    <x v="1"/>
    <n v="7525"/>
    <x v="1"/>
    <s v="Jan"/>
  </r>
  <r>
    <n v="36"/>
    <x v="0"/>
    <x v="0"/>
    <m/>
    <m/>
    <s v="Travel_Rarely"/>
    <n v="660"/>
    <x v="1"/>
    <n v="15"/>
    <n v="3"/>
    <x v="1"/>
    <n v="1"/>
    <n v="1052"/>
    <m/>
    <n v="1"/>
    <x v="0"/>
    <x v="2"/>
    <x v="2"/>
    <n v="4834"/>
    <x v="1"/>
    <s v="Jan"/>
  </r>
  <r>
    <n v="26"/>
    <x v="2"/>
    <x v="0"/>
    <m/>
    <m/>
    <s v="Travel_Frequently"/>
    <n v="342"/>
    <x v="1"/>
    <n v="2"/>
    <n v="3"/>
    <x v="0"/>
    <n v="1"/>
    <n v="1053"/>
    <m/>
    <n v="1"/>
    <x v="1"/>
    <x v="1"/>
    <x v="3"/>
    <n v="2042"/>
    <x v="0"/>
    <s v="Jan"/>
  </r>
  <r>
    <n v="34"/>
    <x v="2"/>
    <x v="1"/>
    <m/>
    <m/>
    <s v="Travel_Rarely"/>
    <n v="1333"/>
    <x v="0"/>
    <n v="10"/>
    <n v="4"/>
    <x v="0"/>
    <n v="1"/>
    <n v="1055"/>
    <m/>
    <n v="3"/>
    <x v="1"/>
    <x v="6"/>
    <x v="2"/>
    <n v="2220"/>
    <x v="0"/>
    <s v="Jan"/>
  </r>
  <r>
    <n v="28"/>
    <x v="2"/>
    <x v="1"/>
    <m/>
    <m/>
    <s v="Travel_Rarely"/>
    <n v="1144"/>
    <x v="0"/>
    <n v="10"/>
    <n v="1"/>
    <x v="2"/>
    <n v="1"/>
    <n v="1056"/>
    <m/>
    <n v="4"/>
    <x v="1"/>
    <x v="6"/>
    <x v="1"/>
    <n v="1052"/>
    <x v="1"/>
    <s v="Jan"/>
  </r>
  <r>
    <n v="38"/>
    <x v="0"/>
    <x v="1"/>
    <m/>
    <m/>
    <s v="Travel_Frequently"/>
    <n v="1186"/>
    <x v="1"/>
    <n v="3"/>
    <n v="4"/>
    <x v="1"/>
    <n v="1"/>
    <n v="1060"/>
    <m/>
    <n v="3"/>
    <x v="1"/>
    <x v="1"/>
    <x v="2"/>
    <n v="2821"/>
    <x v="1"/>
    <s v="Jan"/>
  </r>
  <r>
    <n v="50"/>
    <x v="1"/>
    <x v="1"/>
    <m/>
    <m/>
    <s v="Travel_Rarely"/>
    <n v="1464"/>
    <x v="1"/>
    <n v="2"/>
    <n v="4"/>
    <x v="2"/>
    <n v="1"/>
    <n v="1061"/>
    <m/>
    <n v="2"/>
    <x v="4"/>
    <x v="7"/>
    <x v="2"/>
    <n v="19237"/>
    <x v="0"/>
    <s v="Jan"/>
  </r>
  <r>
    <n v="37"/>
    <x v="0"/>
    <x v="1"/>
    <m/>
    <m/>
    <s v="Travel_Rarely"/>
    <n v="124"/>
    <x v="1"/>
    <n v="3"/>
    <n v="3"/>
    <x v="1"/>
    <n v="1"/>
    <n v="1062"/>
    <m/>
    <n v="4"/>
    <x v="0"/>
    <x v="4"/>
    <x v="1"/>
    <n v="4107"/>
    <x v="1"/>
    <s v="Jan"/>
  </r>
  <r>
    <n v="40"/>
    <x v="0"/>
    <x v="1"/>
    <m/>
    <m/>
    <s v="Travel_Rarely"/>
    <n v="300"/>
    <x v="0"/>
    <n v="26"/>
    <n v="3"/>
    <x v="3"/>
    <n v="1"/>
    <n v="1066"/>
    <m/>
    <n v="3"/>
    <x v="0"/>
    <x v="0"/>
    <x v="3"/>
    <n v="8396"/>
    <x v="1"/>
    <s v="Jan"/>
  </r>
  <r>
    <n v="26"/>
    <x v="2"/>
    <x v="1"/>
    <m/>
    <m/>
    <s v="Travel_Frequently"/>
    <n v="921"/>
    <x v="1"/>
    <n v="1"/>
    <n v="1"/>
    <x v="2"/>
    <n v="1"/>
    <n v="1068"/>
    <m/>
    <n v="1"/>
    <x v="1"/>
    <x v="1"/>
    <x v="2"/>
    <n v="2007"/>
    <x v="1"/>
    <s v="Jan"/>
  </r>
  <r>
    <n v="46"/>
    <x v="1"/>
    <x v="1"/>
    <m/>
    <m/>
    <s v="Travel_Rarely"/>
    <n v="430"/>
    <x v="1"/>
    <n v="1"/>
    <n v="4"/>
    <x v="2"/>
    <n v="1"/>
    <n v="1069"/>
    <m/>
    <n v="4"/>
    <x v="4"/>
    <x v="7"/>
    <x v="0"/>
    <n v="19627"/>
    <x v="1"/>
    <s v="Jan"/>
  </r>
  <r>
    <n v="54"/>
    <x v="1"/>
    <x v="1"/>
    <m/>
    <m/>
    <s v="Travel_Rarely"/>
    <n v="1082"/>
    <x v="0"/>
    <n v="2"/>
    <n v="4"/>
    <x v="0"/>
    <n v="1"/>
    <n v="1070"/>
    <m/>
    <n v="3"/>
    <x v="2"/>
    <x v="0"/>
    <x v="2"/>
    <n v="10686"/>
    <x v="1"/>
    <s v="Jan"/>
  </r>
  <r>
    <n v="56"/>
    <x v="3"/>
    <x v="1"/>
    <m/>
    <m/>
    <s v="Travel_Frequently"/>
    <n v="1240"/>
    <x v="1"/>
    <n v="9"/>
    <n v="3"/>
    <x v="2"/>
    <n v="1"/>
    <n v="1071"/>
    <m/>
    <n v="1"/>
    <x v="1"/>
    <x v="1"/>
    <x v="2"/>
    <n v="2942"/>
    <x v="1"/>
    <s v="Jan"/>
  </r>
  <r>
    <n v="36"/>
    <x v="0"/>
    <x v="1"/>
    <m/>
    <m/>
    <s v="Travel_Rarely"/>
    <n v="796"/>
    <x v="1"/>
    <n v="12"/>
    <n v="5"/>
    <x v="2"/>
    <n v="1"/>
    <n v="1073"/>
    <m/>
    <n v="4"/>
    <x v="2"/>
    <x v="3"/>
    <x v="0"/>
    <n v="8858"/>
    <x v="1"/>
    <s v="Jan"/>
  </r>
  <r>
    <n v="55"/>
    <x v="3"/>
    <x v="1"/>
    <m/>
    <m/>
    <s v="Non-Travel"/>
    <n v="444"/>
    <x v="1"/>
    <n v="2"/>
    <n v="1"/>
    <x v="2"/>
    <n v="1"/>
    <n v="1074"/>
    <m/>
    <n v="3"/>
    <x v="3"/>
    <x v="5"/>
    <x v="3"/>
    <n v="16756"/>
    <x v="1"/>
    <s v="Jan"/>
  </r>
  <r>
    <n v="43"/>
    <x v="0"/>
    <x v="1"/>
    <m/>
    <m/>
    <s v="Travel_Rarely"/>
    <n v="415"/>
    <x v="0"/>
    <n v="25"/>
    <n v="3"/>
    <x v="2"/>
    <n v="1"/>
    <n v="1076"/>
    <m/>
    <n v="3"/>
    <x v="2"/>
    <x v="0"/>
    <x v="0"/>
    <n v="10798"/>
    <x v="1"/>
    <s v="Jan"/>
  </r>
  <r>
    <n v="20"/>
    <x v="4"/>
    <x v="0"/>
    <m/>
    <m/>
    <s v="Travel_Frequently"/>
    <n v="769"/>
    <x v="0"/>
    <n v="9"/>
    <n v="3"/>
    <x v="3"/>
    <n v="1"/>
    <n v="1077"/>
    <m/>
    <n v="4"/>
    <x v="1"/>
    <x v="6"/>
    <x v="0"/>
    <n v="2323"/>
    <x v="0"/>
    <s v="Jan"/>
  </r>
  <r>
    <n v="21"/>
    <x v="4"/>
    <x v="0"/>
    <m/>
    <m/>
    <s v="Travel_Rarely"/>
    <n v="1334"/>
    <x v="1"/>
    <n v="10"/>
    <n v="3"/>
    <x v="0"/>
    <n v="1"/>
    <n v="1079"/>
    <m/>
    <n v="3"/>
    <x v="1"/>
    <x v="2"/>
    <x v="3"/>
    <n v="1416"/>
    <x v="1"/>
    <s v="Jan"/>
  </r>
  <r>
    <n v="46"/>
    <x v="1"/>
    <x v="1"/>
    <m/>
    <m/>
    <s v="Travel_Rarely"/>
    <n v="1003"/>
    <x v="1"/>
    <n v="8"/>
    <n v="4"/>
    <x v="0"/>
    <n v="1"/>
    <n v="1080"/>
    <m/>
    <n v="4"/>
    <x v="0"/>
    <x v="1"/>
    <x v="3"/>
    <n v="4615"/>
    <x v="0"/>
    <s v="Jan"/>
  </r>
  <r>
    <n v="51"/>
    <x v="1"/>
    <x v="0"/>
    <m/>
    <m/>
    <s v="Travel_Rarely"/>
    <n v="1323"/>
    <x v="1"/>
    <n v="4"/>
    <n v="4"/>
    <x v="0"/>
    <n v="1"/>
    <n v="1081"/>
    <m/>
    <n v="1"/>
    <x v="1"/>
    <x v="1"/>
    <x v="2"/>
    <n v="2461"/>
    <x v="0"/>
    <s v="Jan"/>
  </r>
  <r>
    <n v="28"/>
    <x v="2"/>
    <x v="0"/>
    <m/>
    <m/>
    <s v="Non-Travel"/>
    <n v="1366"/>
    <x v="1"/>
    <n v="24"/>
    <n v="2"/>
    <x v="4"/>
    <n v="1"/>
    <n v="1082"/>
    <m/>
    <n v="2"/>
    <x v="2"/>
    <x v="4"/>
    <x v="3"/>
    <n v="8722"/>
    <x v="1"/>
    <s v="Jan"/>
  </r>
  <r>
    <n v="26"/>
    <x v="2"/>
    <x v="1"/>
    <m/>
    <m/>
    <s v="Travel_Rarely"/>
    <n v="192"/>
    <x v="1"/>
    <n v="1"/>
    <n v="2"/>
    <x v="2"/>
    <n v="1"/>
    <n v="1083"/>
    <m/>
    <n v="1"/>
    <x v="1"/>
    <x v="2"/>
    <x v="3"/>
    <n v="3955"/>
    <x v="1"/>
    <s v="Jan"/>
  </r>
  <r>
    <n v="30"/>
    <x v="2"/>
    <x v="1"/>
    <m/>
    <m/>
    <s v="Travel_Rarely"/>
    <n v="1176"/>
    <x v="1"/>
    <n v="20"/>
    <n v="3"/>
    <x v="1"/>
    <n v="1"/>
    <n v="1084"/>
    <m/>
    <n v="3"/>
    <x v="0"/>
    <x v="3"/>
    <x v="3"/>
    <n v="9957"/>
    <x v="1"/>
    <s v="Jan"/>
  </r>
  <r>
    <n v="41"/>
    <x v="0"/>
    <x v="1"/>
    <m/>
    <m/>
    <s v="Travel_Rarely"/>
    <n v="509"/>
    <x v="1"/>
    <n v="7"/>
    <n v="2"/>
    <x v="4"/>
    <n v="1"/>
    <n v="1085"/>
    <m/>
    <n v="2"/>
    <x v="1"/>
    <x v="1"/>
    <x v="2"/>
    <n v="3376"/>
    <x v="1"/>
    <s v="Jan"/>
  </r>
  <r>
    <n v="38"/>
    <x v="0"/>
    <x v="1"/>
    <m/>
    <m/>
    <s v="Travel_Rarely"/>
    <n v="330"/>
    <x v="1"/>
    <n v="17"/>
    <n v="1"/>
    <x v="0"/>
    <n v="1"/>
    <n v="1088"/>
    <m/>
    <n v="3"/>
    <x v="2"/>
    <x v="4"/>
    <x v="2"/>
    <n v="8823"/>
    <x v="1"/>
    <s v="Jan"/>
  </r>
  <r>
    <n v="40"/>
    <x v="0"/>
    <x v="1"/>
    <m/>
    <m/>
    <s v="Travel_Rarely"/>
    <n v="1492"/>
    <x v="1"/>
    <n v="20"/>
    <n v="4"/>
    <x v="4"/>
    <n v="1"/>
    <n v="1092"/>
    <m/>
    <n v="1"/>
    <x v="2"/>
    <x v="4"/>
    <x v="0"/>
    <n v="10322"/>
    <x v="1"/>
    <s v="Jan"/>
  </r>
  <r>
    <n v="27"/>
    <x v="2"/>
    <x v="1"/>
    <m/>
    <m/>
    <s v="Non-Travel"/>
    <n v="1277"/>
    <x v="1"/>
    <n v="8"/>
    <n v="5"/>
    <x v="0"/>
    <n v="1"/>
    <n v="1094"/>
    <m/>
    <n v="1"/>
    <x v="1"/>
    <x v="2"/>
    <x v="2"/>
    <n v="4621"/>
    <x v="1"/>
    <s v="Jan"/>
  </r>
  <r>
    <n v="55"/>
    <x v="3"/>
    <x v="1"/>
    <m/>
    <m/>
    <s v="Travel_Frequently"/>
    <n v="1091"/>
    <x v="1"/>
    <n v="2"/>
    <n v="1"/>
    <x v="0"/>
    <n v="1"/>
    <n v="1096"/>
    <m/>
    <n v="4"/>
    <x v="2"/>
    <x v="3"/>
    <x v="1"/>
    <n v="10976"/>
    <x v="1"/>
    <s v="Jan"/>
  </r>
  <r>
    <n v="28"/>
    <x v="2"/>
    <x v="1"/>
    <m/>
    <m/>
    <s v="Travel_Rarely"/>
    <n v="857"/>
    <x v="1"/>
    <n v="10"/>
    <n v="3"/>
    <x v="1"/>
    <n v="1"/>
    <n v="1097"/>
    <m/>
    <n v="3"/>
    <x v="0"/>
    <x v="1"/>
    <x v="2"/>
    <n v="3660"/>
    <x v="1"/>
    <s v="Jan"/>
  </r>
  <r>
    <n v="44"/>
    <x v="0"/>
    <x v="0"/>
    <m/>
    <m/>
    <s v="Travel_Rarely"/>
    <n v="1376"/>
    <x v="2"/>
    <n v="1"/>
    <n v="2"/>
    <x v="2"/>
    <n v="1"/>
    <n v="1098"/>
    <m/>
    <n v="2"/>
    <x v="2"/>
    <x v="8"/>
    <x v="3"/>
    <n v="10482"/>
    <x v="1"/>
    <s v="Jan"/>
  </r>
  <r>
    <n v="33"/>
    <x v="2"/>
    <x v="1"/>
    <m/>
    <m/>
    <s v="Travel_Rarely"/>
    <n v="654"/>
    <x v="1"/>
    <n v="5"/>
    <n v="3"/>
    <x v="0"/>
    <n v="1"/>
    <n v="1099"/>
    <m/>
    <n v="4"/>
    <x v="2"/>
    <x v="4"/>
    <x v="0"/>
    <n v="7119"/>
    <x v="1"/>
    <s v="Jan"/>
  </r>
  <r>
    <n v="35"/>
    <x v="0"/>
    <x v="0"/>
    <m/>
    <m/>
    <s v="Travel_Rarely"/>
    <n v="1204"/>
    <x v="0"/>
    <n v="4"/>
    <n v="3"/>
    <x v="4"/>
    <n v="1"/>
    <n v="1100"/>
    <m/>
    <n v="4"/>
    <x v="2"/>
    <x v="0"/>
    <x v="3"/>
    <n v="9582"/>
    <x v="0"/>
    <s v="Jan"/>
  </r>
  <r>
    <n v="33"/>
    <x v="2"/>
    <x v="0"/>
    <m/>
    <m/>
    <s v="Travel_Frequently"/>
    <n v="827"/>
    <x v="1"/>
    <n v="29"/>
    <n v="4"/>
    <x v="2"/>
    <n v="1"/>
    <n v="1101"/>
    <m/>
    <n v="1"/>
    <x v="0"/>
    <x v="1"/>
    <x v="2"/>
    <n v="4508"/>
    <x v="1"/>
    <s v="Jan"/>
  </r>
  <r>
    <n v="28"/>
    <x v="2"/>
    <x v="1"/>
    <m/>
    <m/>
    <s v="Travel_Rarely"/>
    <n v="895"/>
    <x v="1"/>
    <n v="15"/>
    <n v="2"/>
    <x v="0"/>
    <n v="1"/>
    <n v="1102"/>
    <m/>
    <n v="1"/>
    <x v="1"/>
    <x v="2"/>
    <x v="2"/>
    <n v="2207"/>
    <x v="1"/>
    <s v="Jan"/>
  </r>
  <r>
    <n v="34"/>
    <x v="2"/>
    <x v="1"/>
    <m/>
    <m/>
    <s v="Travel_Frequently"/>
    <n v="618"/>
    <x v="1"/>
    <n v="3"/>
    <n v="1"/>
    <x v="0"/>
    <n v="1"/>
    <n v="1103"/>
    <m/>
    <n v="1"/>
    <x v="0"/>
    <x v="4"/>
    <x v="0"/>
    <n v="7756"/>
    <x v="1"/>
    <s v="Jan"/>
  </r>
  <r>
    <n v="37"/>
    <x v="0"/>
    <x v="1"/>
    <m/>
    <m/>
    <s v="Travel_Rarely"/>
    <n v="309"/>
    <x v="0"/>
    <n v="10"/>
    <n v="4"/>
    <x v="0"/>
    <n v="1"/>
    <n v="1105"/>
    <m/>
    <n v="4"/>
    <x v="0"/>
    <x v="0"/>
    <x v="0"/>
    <n v="6694"/>
    <x v="0"/>
    <s v="Jan"/>
  </r>
  <r>
    <n v="25"/>
    <x v="2"/>
    <x v="0"/>
    <m/>
    <m/>
    <s v="Travel_Rarely"/>
    <n v="1219"/>
    <x v="1"/>
    <n v="4"/>
    <n v="1"/>
    <x v="4"/>
    <n v="1"/>
    <n v="1106"/>
    <m/>
    <n v="4"/>
    <x v="1"/>
    <x v="2"/>
    <x v="0"/>
    <n v="3691"/>
    <x v="0"/>
    <s v="Jan"/>
  </r>
  <r>
    <n v="26"/>
    <x v="2"/>
    <x v="0"/>
    <m/>
    <m/>
    <s v="Travel_Rarely"/>
    <n v="1330"/>
    <x v="1"/>
    <n v="21"/>
    <n v="3"/>
    <x v="2"/>
    <n v="1"/>
    <n v="1107"/>
    <m/>
    <n v="1"/>
    <x v="1"/>
    <x v="2"/>
    <x v="2"/>
    <n v="2377"/>
    <x v="1"/>
    <s v="Jan"/>
  </r>
  <r>
    <n v="33"/>
    <x v="2"/>
    <x v="0"/>
    <m/>
    <m/>
    <s v="Travel_Rarely"/>
    <n v="1017"/>
    <x v="1"/>
    <n v="25"/>
    <n v="3"/>
    <x v="2"/>
    <n v="1"/>
    <n v="1108"/>
    <m/>
    <n v="1"/>
    <x v="1"/>
    <x v="1"/>
    <x v="1"/>
    <n v="2313"/>
    <x v="0"/>
    <s v="Jan"/>
  </r>
  <r>
    <n v="42"/>
    <x v="0"/>
    <x v="1"/>
    <m/>
    <m/>
    <s v="Travel_Rarely"/>
    <n v="469"/>
    <x v="1"/>
    <n v="2"/>
    <n v="2"/>
    <x v="2"/>
    <n v="1"/>
    <n v="1109"/>
    <m/>
    <n v="4"/>
    <x v="3"/>
    <x v="5"/>
    <x v="3"/>
    <n v="17665"/>
    <x v="1"/>
    <s v="Jan"/>
  </r>
  <r>
    <n v="28"/>
    <x v="2"/>
    <x v="0"/>
    <m/>
    <m/>
    <s v="Travel_Frequently"/>
    <n v="1009"/>
    <x v="1"/>
    <n v="1"/>
    <n v="3"/>
    <x v="2"/>
    <n v="1"/>
    <n v="1111"/>
    <m/>
    <n v="1"/>
    <x v="1"/>
    <x v="2"/>
    <x v="1"/>
    <n v="2596"/>
    <x v="1"/>
    <s v="Jan"/>
  </r>
  <r>
    <n v="50"/>
    <x v="1"/>
    <x v="0"/>
    <m/>
    <m/>
    <s v="Travel_Frequently"/>
    <n v="959"/>
    <x v="0"/>
    <n v="1"/>
    <n v="4"/>
    <x v="1"/>
    <n v="1"/>
    <n v="1113"/>
    <m/>
    <n v="4"/>
    <x v="0"/>
    <x v="0"/>
    <x v="2"/>
    <n v="4728"/>
    <x v="0"/>
    <s v="Jan"/>
  </r>
  <r>
    <n v="33"/>
    <x v="2"/>
    <x v="1"/>
    <m/>
    <m/>
    <s v="Travel_Frequently"/>
    <n v="970"/>
    <x v="0"/>
    <n v="7"/>
    <n v="3"/>
    <x v="0"/>
    <n v="1"/>
    <n v="1114"/>
    <m/>
    <n v="4"/>
    <x v="0"/>
    <x v="0"/>
    <x v="1"/>
    <n v="4302"/>
    <x v="1"/>
    <s v="Jan"/>
  </r>
  <r>
    <n v="34"/>
    <x v="2"/>
    <x v="1"/>
    <m/>
    <m/>
    <s v="Non-Travel"/>
    <n v="697"/>
    <x v="1"/>
    <n v="3"/>
    <n v="4"/>
    <x v="0"/>
    <n v="1"/>
    <n v="1115"/>
    <m/>
    <n v="3"/>
    <x v="1"/>
    <x v="1"/>
    <x v="0"/>
    <n v="2979"/>
    <x v="1"/>
    <s v="Jan"/>
  </r>
  <r>
    <n v="48"/>
    <x v="1"/>
    <x v="1"/>
    <m/>
    <m/>
    <s v="Non-Travel"/>
    <n v="1262"/>
    <x v="1"/>
    <n v="1"/>
    <n v="4"/>
    <x v="2"/>
    <n v="1"/>
    <n v="1116"/>
    <m/>
    <n v="1"/>
    <x v="3"/>
    <x v="5"/>
    <x v="0"/>
    <n v="16885"/>
    <x v="1"/>
    <s v="Jan"/>
  </r>
  <r>
    <n v="45"/>
    <x v="1"/>
    <x v="1"/>
    <m/>
    <m/>
    <s v="Non-Travel"/>
    <n v="1050"/>
    <x v="0"/>
    <n v="9"/>
    <n v="4"/>
    <x v="0"/>
    <n v="1"/>
    <n v="1117"/>
    <m/>
    <n v="2"/>
    <x v="0"/>
    <x v="0"/>
    <x v="2"/>
    <n v="5593"/>
    <x v="1"/>
    <s v="Jan"/>
  </r>
  <r>
    <n v="52"/>
    <x v="1"/>
    <x v="1"/>
    <m/>
    <m/>
    <s v="Travel_Rarely"/>
    <n v="994"/>
    <x v="1"/>
    <n v="7"/>
    <n v="4"/>
    <x v="0"/>
    <n v="1"/>
    <n v="1118"/>
    <m/>
    <n v="2"/>
    <x v="2"/>
    <x v="4"/>
    <x v="1"/>
    <n v="10445"/>
    <x v="1"/>
    <s v="Jan"/>
  </r>
  <r>
    <n v="38"/>
    <x v="0"/>
    <x v="1"/>
    <m/>
    <m/>
    <s v="Travel_Rarely"/>
    <n v="770"/>
    <x v="0"/>
    <n v="10"/>
    <n v="4"/>
    <x v="3"/>
    <n v="1"/>
    <n v="1119"/>
    <m/>
    <n v="3"/>
    <x v="2"/>
    <x v="0"/>
    <x v="2"/>
    <n v="8740"/>
    <x v="0"/>
    <s v="Jan"/>
  </r>
  <r>
    <n v="29"/>
    <x v="2"/>
    <x v="1"/>
    <m/>
    <m/>
    <s v="Travel_Rarely"/>
    <n v="1107"/>
    <x v="1"/>
    <n v="28"/>
    <n v="4"/>
    <x v="0"/>
    <n v="1"/>
    <n v="1120"/>
    <m/>
    <n v="3"/>
    <x v="1"/>
    <x v="1"/>
    <x v="0"/>
    <n v="2514"/>
    <x v="1"/>
    <s v="Jan"/>
  </r>
  <r>
    <n v="28"/>
    <x v="2"/>
    <x v="1"/>
    <m/>
    <m/>
    <s v="Travel_Rarely"/>
    <n v="950"/>
    <x v="1"/>
    <n v="3"/>
    <n v="3"/>
    <x v="2"/>
    <n v="1"/>
    <n v="1121"/>
    <m/>
    <n v="4"/>
    <x v="2"/>
    <x v="3"/>
    <x v="1"/>
    <n v="7655"/>
    <x v="1"/>
    <s v="Jan"/>
  </r>
  <r>
    <n v="46"/>
    <x v="1"/>
    <x v="1"/>
    <m/>
    <m/>
    <s v="Travel_Rarely"/>
    <n v="406"/>
    <x v="0"/>
    <n v="3"/>
    <n v="1"/>
    <x v="3"/>
    <n v="1"/>
    <n v="1124"/>
    <m/>
    <n v="1"/>
    <x v="3"/>
    <x v="5"/>
    <x v="2"/>
    <n v="17465"/>
    <x v="1"/>
    <s v="Jan"/>
  </r>
  <r>
    <n v="38"/>
    <x v="0"/>
    <x v="1"/>
    <m/>
    <m/>
    <s v="Travel_Rarely"/>
    <n v="130"/>
    <x v="0"/>
    <n v="2"/>
    <n v="2"/>
    <x v="3"/>
    <n v="1"/>
    <n v="1125"/>
    <m/>
    <n v="4"/>
    <x v="2"/>
    <x v="0"/>
    <x v="1"/>
    <n v="7351"/>
    <x v="1"/>
    <s v="Jan"/>
  </r>
  <r>
    <n v="43"/>
    <x v="0"/>
    <x v="1"/>
    <m/>
    <m/>
    <s v="Travel_Frequently"/>
    <n v="1082"/>
    <x v="1"/>
    <n v="27"/>
    <n v="3"/>
    <x v="0"/>
    <n v="1"/>
    <n v="1126"/>
    <m/>
    <n v="3"/>
    <x v="2"/>
    <x v="3"/>
    <x v="3"/>
    <n v="10820"/>
    <x v="1"/>
    <s v="Jan"/>
  </r>
  <r>
    <n v="39"/>
    <x v="0"/>
    <x v="0"/>
    <m/>
    <m/>
    <s v="Travel_Frequently"/>
    <n v="203"/>
    <x v="1"/>
    <n v="2"/>
    <n v="3"/>
    <x v="0"/>
    <n v="1"/>
    <n v="1127"/>
    <m/>
    <n v="1"/>
    <x v="3"/>
    <x v="4"/>
    <x v="0"/>
    <n v="12169"/>
    <x v="1"/>
    <s v="Jan"/>
  </r>
  <r>
    <n v="40"/>
    <x v="0"/>
    <x v="1"/>
    <m/>
    <m/>
    <s v="Travel_Rarely"/>
    <n v="1308"/>
    <x v="1"/>
    <n v="14"/>
    <n v="3"/>
    <x v="2"/>
    <n v="1"/>
    <n v="1128"/>
    <m/>
    <n v="3"/>
    <x v="4"/>
    <x v="7"/>
    <x v="2"/>
    <n v="19626"/>
    <x v="1"/>
    <s v="Jan"/>
  </r>
  <r>
    <n v="21"/>
    <x v="4"/>
    <x v="1"/>
    <m/>
    <m/>
    <s v="Travel_Rarely"/>
    <n v="984"/>
    <x v="1"/>
    <n v="1"/>
    <n v="1"/>
    <x v="4"/>
    <n v="1"/>
    <n v="1131"/>
    <m/>
    <n v="4"/>
    <x v="1"/>
    <x v="1"/>
    <x v="1"/>
    <n v="2070"/>
    <x v="0"/>
    <s v="Jan"/>
  </r>
  <r>
    <n v="39"/>
    <x v="0"/>
    <x v="1"/>
    <m/>
    <m/>
    <s v="Non-Travel"/>
    <n v="439"/>
    <x v="1"/>
    <n v="9"/>
    <n v="3"/>
    <x v="0"/>
    <n v="1"/>
    <n v="1132"/>
    <m/>
    <n v="3"/>
    <x v="0"/>
    <x v="2"/>
    <x v="1"/>
    <n v="6782"/>
    <x v="1"/>
    <s v="Jan"/>
  </r>
  <r>
    <n v="36"/>
    <x v="0"/>
    <x v="1"/>
    <m/>
    <m/>
    <s v="Non-Travel"/>
    <n v="217"/>
    <x v="1"/>
    <n v="18"/>
    <n v="4"/>
    <x v="0"/>
    <n v="1"/>
    <n v="1133"/>
    <m/>
    <n v="1"/>
    <x v="0"/>
    <x v="3"/>
    <x v="0"/>
    <n v="7779"/>
    <x v="1"/>
    <s v="Jan"/>
  </r>
  <r>
    <n v="31"/>
    <x v="2"/>
    <x v="1"/>
    <m/>
    <m/>
    <s v="Travel_Frequently"/>
    <n v="793"/>
    <x v="0"/>
    <n v="20"/>
    <n v="3"/>
    <x v="0"/>
    <n v="1"/>
    <n v="1135"/>
    <m/>
    <n v="3"/>
    <x v="1"/>
    <x v="6"/>
    <x v="0"/>
    <n v="2791"/>
    <x v="1"/>
    <s v="Jan"/>
  </r>
  <r>
    <n v="28"/>
    <x v="2"/>
    <x v="1"/>
    <m/>
    <m/>
    <s v="Travel_Rarely"/>
    <n v="1451"/>
    <x v="1"/>
    <n v="2"/>
    <n v="1"/>
    <x v="0"/>
    <n v="1"/>
    <n v="1136"/>
    <m/>
    <n v="1"/>
    <x v="1"/>
    <x v="1"/>
    <x v="1"/>
    <n v="3201"/>
    <x v="1"/>
    <s v="Jan"/>
  </r>
  <r>
    <n v="35"/>
    <x v="0"/>
    <x v="1"/>
    <m/>
    <m/>
    <s v="Travel_Frequently"/>
    <n v="1182"/>
    <x v="0"/>
    <n v="11"/>
    <n v="2"/>
    <x v="3"/>
    <n v="1"/>
    <n v="1137"/>
    <m/>
    <n v="4"/>
    <x v="0"/>
    <x v="0"/>
    <x v="0"/>
    <n v="4968"/>
    <x v="1"/>
    <s v="Jan"/>
  </r>
  <r>
    <n v="49"/>
    <x v="1"/>
    <x v="1"/>
    <m/>
    <m/>
    <s v="Travel_Rarely"/>
    <n v="174"/>
    <x v="0"/>
    <n v="8"/>
    <n v="4"/>
    <x v="4"/>
    <n v="1"/>
    <n v="1138"/>
    <m/>
    <n v="4"/>
    <x v="3"/>
    <x v="0"/>
    <x v="1"/>
    <n v="13120"/>
    <x v="1"/>
    <s v="Jan"/>
  </r>
  <r>
    <n v="34"/>
    <x v="2"/>
    <x v="1"/>
    <m/>
    <m/>
    <s v="Travel_Frequently"/>
    <n v="1003"/>
    <x v="1"/>
    <n v="2"/>
    <n v="2"/>
    <x v="0"/>
    <n v="1"/>
    <n v="1140"/>
    <m/>
    <n v="4"/>
    <x v="0"/>
    <x v="3"/>
    <x v="2"/>
    <n v="4033"/>
    <x v="1"/>
    <s v="Jan"/>
  </r>
  <r>
    <n v="29"/>
    <x v="2"/>
    <x v="1"/>
    <m/>
    <m/>
    <s v="Travel_Frequently"/>
    <n v="490"/>
    <x v="1"/>
    <n v="10"/>
    <n v="3"/>
    <x v="0"/>
    <n v="1"/>
    <n v="1143"/>
    <m/>
    <n v="4"/>
    <x v="1"/>
    <x v="1"/>
    <x v="1"/>
    <n v="3291"/>
    <x v="1"/>
    <s v="Jan"/>
  </r>
  <r>
    <n v="42"/>
    <x v="0"/>
    <x v="1"/>
    <m/>
    <m/>
    <s v="Travel_Rarely"/>
    <n v="188"/>
    <x v="1"/>
    <n v="29"/>
    <n v="3"/>
    <x v="2"/>
    <n v="1"/>
    <n v="1148"/>
    <m/>
    <n v="2"/>
    <x v="0"/>
    <x v="2"/>
    <x v="0"/>
    <n v="4272"/>
    <x v="1"/>
    <s v="Jan"/>
  </r>
  <r>
    <n v="29"/>
    <x v="2"/>
    <x v="1"/>
    <m/>
    <m/>
    <s v="Travel_Rarely"/>
    <n v="718"/>
    <x v="1"/>
    <n v="8"/>
    <n v="1"/>
    <x v="2"/>
    <n v="1"/>
    <n v="1150"/>
    <m/>
    <n v="2"/>
    <x v="0"/>
    <x v="3"/>
    <x v="0"/>
    <n v="5056"/>
    <x v="0"/>
    <s v="Jan"/>
  </r>
  <r>
    <n v="38"/>
    <x v="0"/>
    <x v="1"/>
    <m/>
    <m/>
    <s v="Travel_Rarely"/>
    <n v="433"/>
    <x v="2"/>
    <n v="1"/>
    <n v="3"/>
    <x v="5"/>
    <n v="1"/>
    <n v="1152"/>
    <m/>
    <n v="3"/>
    <x v="1"/>
    <x v="8"/>
    <x v="2"/>
    <n v="2844"/>
    <x v="1"/>
    <s v="Jan"/>
  </r>
  <r>
    <n v="28"/>
    <x v="2"/>
    <x v="1"/>
    <m/>
    <m/>
    <s v="Travel_Frequently"/>
    <n v="773"/>
    <x v="1"/>
    <n v="6"/>
    <n v="3"/>
    <x v="0"/>
    <n v="1"/>
    <n v="1154"/>
    <m/>
    <n v="3"/>
    <x v="1"/>
    <x v="1"/>
    <x v="2"/>
    <n v="2703"/>
    <x v="0"/>
    <s v="Jan"/>
  </r>
  <r>
    <n v="18"/>
    <x v="4"/>
    <x v="0"/>
    <m/>
    <m/>
    <s v="Non-Travel"/>
    <n v="247"/>
    <x v="1"/>
    <n v="8"/>
    <n v="1"/>
    <x v="2"/>
    <n v="1"/>
    <n v="1156"/>
    <m/>
    <n v="3"/>
    <x v="1"/>
    <x v="2"/>
    <x v="2"/>
    <n v="1904"/>
    <x v="1"/>
    <s v="Jan"/>
  </r>
  <r>
    <n v="33"/>
    <x v="2"/>
    <x v="0"/>
    <m/>
    <m/>
    <s v="Travel_Rarely"/>
    <n v="603"/>
    <x v="0"/>
    <n v="9"/>
    <n v="4"/>
    <x v="3"/>
    <n v="1"/>
    <n v="1157"/>
    <m/>
    <n v="1"/>
    <x v="0"/>
    <x v="0"/>
    <x v="3"/>
    <n v="8224"/>
    <x v="0"/>
    <s v="Jan"/>
  </r>
  <r>
    <n v="41"/>
    <x v="0"/>
    <x v="1"/>
    <m/>
    <m/>
    <s v="Travel_Rarely"/>
    <n v="167"/>
    <x v="1"/>
    <n v="12"/>
    <n v="4"/>
    <x v="0"/>
    <n v="1"/>
    <n v="1158"/>
    <m/>
    <n v="2"/>
    <x v="1"/>
    <x v="2"/>
    <x v="0"/>
    <n v="4766"/>
    <x v="0"/>
    <s v="Jan"/>
  </r>
  <r>
    <n v="31"/>
    <x v="2"/>
    <x v="0"/>
    <m/>
    <m/>
    <s v="Travel_Frequently"/>
    <n v="874"/>
    <x v="1"/>
    <n v="15"/>
    <n v="3"/>
    <x v="2"/>
    <n v="1"/>
    <n v="1160"/>
    <m/>
    <n v="3"/>
    <x v="1"/>
    <x v="2"/>
    <x v="2"/>
    <n v="2610"/>
    <x v="1"/>
    <s v="Jan"/>
  </r>
  <r>
    <n v="37"/>
    <x v="0"/>
    <x v="1"/>
    <m/>
    <m/>
    <s v="Travel_Rarely"/>
    <n v="367"/>
    <x v="1"/>
    <n v="25"/>
    <n v="2"/>
    <x v="2"/>
    <n v="1"/>
    <n v="1161"/>
    <m/>
    <n v="3"/>
    <x v="0"/>
    <x v="4"/>
    <x v="0"/>
    <n v="5731"/>
    <x v="1"/>
    <s v="Jan"/>
  </r>
  <r>
    <n v="27"/>
    <x v="2"/>
    <x v="1"/>
    <m/>
    <m/>
    <s v="Travel_Rarely"/>
    <n v="199"/>
    <x v="1"/>
    <n v="6"/>
    <n v="3"/>
    <x v="0"/>
    <n v="1"/>
    <n v="1162"/>
    <m/>
    <n v="4"/>
    <x v="1"/>
    <x v="1"/>
    <x v="2"/>
    <n v="2539"/>
    <x v="1"/>
    <s v="Jan"/>
  </r>
  <r>
    <n v="34"/>
    <x v="2"/>
    <x v="1"/>
    <m/>
    <m/>
    <s v="Travel_Rarely"/>
    <n v="1400"/>
    <x v="0"/>
    <n v="9"/>
    <n v="1"/>
    <x v="0"/>
    <n v="1"/>
    <n v="1163"/>
    <m/>
    <n v="2"/>
    <x v="0"/>
    <x v="0"/>
    <x v="2"/>
    <n v="5714"/>
    <x v="1"/>
    <s v="Jan"/>
  </r>
  <r>
    <n v="35"/>
    <x v="0"/>
    <x v="1"/>
    <m/>
    <m/>
    <s v="Travel_Rarely"/>
    <n v="528"/>
    <x v="2"/>
    <n v="8"/>
    <n v="4"/>
    <x v="4"/>
    <n v="1"/>
    <n v="1164"/>
    <m/>
    <n v="3"/>
    <x v="1"/>
    <x v="8"/>
    <x v="2"/>
    <n v="4323"/>
    <x v="1"/>
    <s v="Jan"/>
  </r>
  <r>
    <n v="29"/>
    <x v="2"/>
    <x v="0"/>
    <m/>
    <m/>
    <s v="Travel_Rarely"/>
    <n v="408"/>
    <x v="0"/>
    <n v="23"/>
    <n v="1"/>
    <x v="0"/>
    <n v="1"/>
    <n v="1165"/>
    <m/>
    <n v="4"/>
    <x v="2"/>
    <x v="0"/>
    <x v="3"/>
    <n v="7336"/>
    <x v="1"/>
    <s v="Jan"/>
  </r>
  <r>
    <n v="40"/>
    <x v="0"/>
    <x v="1"/>
    <m/>
    <m/>
    <s v="Travel_Frequently"/>
    <n v="593"/>
    <x v="1"/>
    <n v="9"/>
    <n v="4"/>
    <x v="2"/>
    <n v="1"/>
    <n v="1166"/>
    <m/>
    <n v="2"/>
    <x v="2"/>
    <x v="7"/>
    <x v="2"/>
    <n v="13499"/>
    <x v="1"/>
    <s v="Jan"/>
  </r>
  <r>
    <n v="42"/>
    <x v="0"/>
    <x v="0"/>
    <m/>
    <m/>
    <s v="Travel_Frequently"/>
    <n v="481"/>
    <x v="0"/>
    <n v="12"/>
    <n v="3"/>
    <x v="0"/>
    <n v="1"/>
    <n v="1167"/>
    <m/>
    <n v="3"/>
    <x v="3"/>
    <x v="0"/>
    <x v="3"/>
    <n v="13758"/>
    <x v="0"/>
    <s v="Jan"/>
  </r>
  <r>
    <n v="42"/>
    <x v="0"/>
    <x v="1"/>
    <m/>
    <m/>
    <s v="Travel_Rarely"/>
    <n v="647"/>
    <x v="0"/>
    <n v="4"/>
    <n v="4"/>
    <x v="3"/>
    <n v="1"/>
    <n v="1171"/>
    <m/>
    <n v="2"/>
    <x v="0"/>
    <x v="0"/>
    <x v="3"/>
    <n v="5155"/>
    <x v="1"/>
    <s v="Jan"/>
  </r>
  <r>
    <n v="35"/>
    <x v="0"/>
    <x v="1"/>
    <m/>
    <m/>
    <s v="Travel_Rarely"/>
    <n v="982"/>
    <x v="1"/>
    <n v="1"/>
    <n v="4"/>
    <x v="2"/>
    <n v="1"/>
    <n v="1172"/>
    <m/>
    <n v="4"/>
    <x v="1"/>
    <x v="2"/>
    <x v="2"/>
    <n v="2258"/>
    <x v="1"/>
    <s v="Jan"/>
  </r>
  <r>
    <n v="24"/>
    <x v="4"/>
    <x v="1"/>
    <m/>
    <m/>
    <s v="Travel_Rarely"/>
    <n v="477"/>
    <x v="1"/>
    <n v="24"/>
    <n v="3"/>
    <x v="2"/>
    <n v="1"/>
    <n v="1173"/>
    <m/>
    <n v="4"/>
    <x v="1"/>
    <x v="2"/>
    <x v="1"/>
    <n v="3597"/>
    <x v="1"/>
    <s v="Jan"/>
  </r>
  <r>
    <n v="28"/>
    <x v="2"/>
    <x v="0"/>
    <m/>
    <m/>
    <s v="Travel_Rarely"/>
    <n v="1485"/>
    <x v="1"/>
    <n v="12"/>
    <n v="1"/>
    <x v="0"/>
    <n v="1"/>
    <n v="1175"/>
    <m/>
    <n v="3"/>
    <x v="1"/>
    <x v="2"/>
    <x v="0"/>
    <n v="2515"/>
    <x v="0"/>
    <s v="Jan"/>
  </r>
  <r>
    <n v="26"/>
    <x v="2"/>
    <x v="1"/>
    <m/>
    <m/>
    <s v="Travel_Rarely"/>
    <n v="1384"/>
    <x v="1"/>
    <n v="3"/>
    <n v="4"/>
    <x v="2"/>
    <n v="1"/>
    <n v="1177"/>
    <m/>
    <n v="1"/>
    <x v="1"/>
    <x v="2"/>
    <x v="0"/>
    <n v="4420"/>
    <x v="1"/>
    <s v="Jan"/>
  </r>
  <r>
    <n v="30"/>
    <x v="2"/>
    <x v="1"/>
    <m/>
    <m/>
    <s v="Travel_Rarely"/>
    <n v="852"/>
    <x v="0"/>
    <n v="10"/>
    <n v="3"/>
    <x v="3"/>
    <n v="1"/>
    <n v="1179"/>
    <m/>
    <n v="3"/>
    <x v="0"/>
    <x v="0"/>
    <x v="2"/>
    <n v="6578"/>
    <x v="1"/>
    <s v="Jan"/>
  </r>
  <r>
    <n v="40"/>
    <x v="0"/>
    <x v="1"/>
    <m/>
    <m/>
    <s v="Travel_Frequently"/>
    <n v="902"/>
    <x v="1"/>
    <n v="26"/>
    <n v="2"/>
    <x v="2"/>
    <n v="1"/>
    <n v="1180"/>
    <m/>
    <n v="3"/>
    <x v="0"/>
    <x v="1"/>
    <x v="0"/>
    <n v="4422"/>
    <x v="0"/>
    <s v="Jan"/>
  </r>
  <r>
    <n v="35"/>
    <x v="0"/>
    <x v="1"/>
    <m/>
    <m/>
    <s v="Travel_Rarely"/>
    <n v="819"/>
    <x v="1"/>
    <n v="2"/>
    <n v="3"/>
    <x v="0"/>
    <n v="1"/>
    <n v="1182"/>
    <m/>
    <n v="3"/>
    <x v="2"/>
    <x v="3"/>
    <x v="1"/>
    <n v="10274"/>
    <x v="1"/>
    <s v="Jan"/>
  </r>
  <r>
    <n v="34"/>
    <x v="2"/>
    <x v="1"/>
    <m/>
    <m/>
    <s v="Travel_Frequently"/>
    <n v="669"/>
    <x v="1"/>
    <n v="1"/>
    <n v="3"/>
    <x v="2"/>
    <n v="1"/>
    <n v="1184"/>
    <m/>
    <n v="4"/>
    <x v="0"/>
    <x v="4"/>
    <x v="3"/>
    <n v="5343"/>
    <x v="1"/>
    <s v="Jan"/>
  </r>
  <r>
    <n v="35"/>
    <x v="0"/>
    <x v="1"/>
    <m/>
    <m/>
    <s v="Travel_Frequently"/>
    <n v="636"/>
    <x v="1"/>
    <n v="4"/>
    <n v="4"/>
    <x v="1"/>
    <n v="1"/>
    <n v="1185"/>
    <m/>
    <n v="4"/>
    <x v="1"/>
    <x v="2"/>
    <x v="0"/>
    <n v="2376"/>
    <x v="1"/>
    <s v="Jan"/>
  </r>
  <r>
    <n v="43"/>
    <x v="0"/>
    <x v="0"/>
    <m/>
    <m/>
    <s v="Travel_Rarely"/>
    <n v="1372"/>
    <x v="0"/>
    <n v="9"/>
    <n v="3"/>
    <x v="3"/>
    <n v="1"/>
    <n v="1188"/>
    <m/>
    <n v="1"/>
    <x v="0"/>
    <x v="0"/>
    <x v="2"/>
    <n v="5346"/>
    <x v="1"/>
    <s v="Jan"/>
  </r>
  <r>
    <n v="32"/>
    <x v="2"/>
    <x v="1"/>
    <m/>
    <m/>
    <s v="Non-Travel"/>
    <n v="862"/>
    <x v="0"/>
    <n v="2"/>
    <n v="1"/>
    <x v="0"/>
    <n v="1"/>
    <n v="1190"/>
    <m/>
    <n v="3"/>
    <x v="1"/>
    <x v="6"/>
    <x v="3"/>
    <n v="2827"/>
    <x v="1"/>
    <s v="Jan"/>
  </r>
  <r>
    <n v="56"/>
    <x v="3"/>
    <x v="1"/>
    <m/>
    <m/>
    <s v="Travel_Rarely"/>
    <n v="718"/>
    <x v="1"/>
    <n v="4"/>
    <n v="4"/>
    <x v="4"/>
    <n v="1"/>
    <n v="1191"/>
    <m/>
    <n v="4"/>
    <x v="4"/>
    <x v="5"/>
    <x v="3"/>
    <n v="19943"/>
    <x v="1"/>
    <s v="Jan"/>
  </r>
  <r>
    <n v="29"/>
    <x v="2"/>
    <x v="1"/>
    <m/>
    <m/>
    <s v="Travel_Rarely"/>
    <n v="1401"/>
    <x v="1"/>
    <n v="6"/>
    <n v="1"/>
    <x v="2"/>
    <n v="1"/>
    <n v="1192"/>
    <m/>
    <n v="2"/>
    <x v="1"/>
    <x v="2"/>
    <x v="0"/>
    <n v="3131"/>
    <x v="1"/>
    <s v="Jan"/>
  </r>
  <r>
    <n v="19"/>
    <x v="4"/>
    <x v="1"/>
    <m/>
    <m/>
    <s v="Travel_Rarely"/>
    <n v="645"/>
    <x v="1"/>
    <n v="9"/>
    <n v="2"/>
    <x v="0"/>
    <n v="1"/>
    <n v="1193"/>
    <m/>
    <n v="3"/>
    <x v="1"/>
    <x v="1"/>
    <x v="3"/>
    <n v="2552"/>
    <x v="1"/>
    <s v="Jan"/>
  </r>
  <r>
    <n v="45"/>
    <x v="1"/>
    <x v="1"/>
    <m/>
    <m/>
    <s v="Travel_Rarely"/>
    <n v="1457"/>
    <x v="1"/>
    <n v="7"/>
    <n v="3"/>
    <x v="2"/>
    <n v="1"/>
    <n v="1195"/>
    <m/>
    <n v="1"/>
    <x v="1"/>
    <x v="1"/>
    <x v="2"/>
    <n v="4477"/>
    <x v="0"/>
    <s v="Jan"/>
  </r>
  <r>
    <n v="37"/>
    <x v="0"/>
    <x v="1"/>
    <m/>
    <m/>
    <s v="Travel_Rarely"/>
    <n v="977"/>
    <x v="1"/>
    <n v="1"/>
    <n v="3"/>
    <x v="0"/>
    <n v="1"/>
    <n v="1196"/>
    <m/>
    <n v="4"/>
    <x v="0"/>
    <x v="3"/>
    <x v="0"/>
    <n v="6474"/>
    <x v="1"/>
    <s v="Jan"/>
  </r>
  <r>
    <n v="20"/>
    <x v="4"/>
    <x v="1"/>
    <m/>
    <m/>
    <s v="Travel_Rarely"/>
    <n v="805"/>
    <x v="1"/>
    <n v="3"/>
    <n v="3"/>
    <x v="0"/>
    <n v="1"/>
    <n v="1198"/>
    <m/>
    <n v="1"/>
    <x v="1"/>
    <x v="2"/>
    <x v="2"/>
    <n v="3033"/>
    <x v="1"/>
    <s v="Jan"/>
  </r>
  <r>
    <n v="44"/>
    <x v="0"/>
    <x v="0"/>
    <m/>
    <m/>
    <s v="Travel_Rarely"/>
    <n v="1097"/>
    <x v="1"/>
    <n v="10"/>
    <n v="4"/>
    <x v="0"/>
    <n v="1"/>
    <n v="1200"/>
    <m/>
    <n v="3"/>
    <x v="1"/>
    <x v="1"/>
    <x v="2"/>
    <n v="2936"/>
    <x v="0"/>
    <s v="Jan"/>
  </r>
  <r>
    <n v="53"/>
    <x v="1"/>
    <x v="1"/>
    <m/>
    <m/>
    <s v="Travel_Rarely"/>
    <n v="1223"/>
    <x v="1"/>
    <n v="7"/>
    <n v="2"/>
    <x v="2"/>
    <n v="1"/>
    <n v="1201"/>
    <m/>
    <n v="4"/>
    <x v="4"/>
    <x v="5"/>
    <x v="2"/>
    <n v="18606"/>
    <x v="1"/>
    <s v="Jan"/>
  </r>
  <r>
    <n v="29"/>
    <x v="2"/>
    <x v="1"/>
    <m/>
    <m/>
    <s v="Travel_Rarely"/>
    <n v="942"/>
    <x v="1"/>
    <n v="15"/>
    <n v="1"/>
    <x v="0"/>
    <n v="1"/>
    <n v="1202"/>
    <m/>
    <n v="2"/>
    <x v="1"/>
    <x v="1"/>
    <x v="0"/>
    <n v="2168"/>
    <x v="0"/>
    <s v="Jan"/>
  </r>
  <r>
    <n v="22"/>
    <x v="4"/>
    <x v="0"/>
    <m/>
    <m/>
    <s v="Travel_Frequently"/>
    <n v="1256"/>
    <x v="1"/>
    <n v="3"/>
    <n v="4"/>
    <x v="0"/>
    <n v="1"/>
    <n v="1203"/>
    <m/>
    <n v="3"/>
    <x v="1"/>
    <x v="1"/>
    <x v="0"/>
    <n v="2853"/>
    <x v="0"/>
    <s v="Jan"/>
  </r>
  <r>
    <n v="46"/>
    <x v="1"/>
    <x v="1"/>
    <m/>
    <m/>
    <s v="Travel_Rarely"/>
    <n v="1402"/>
    <x v="0"/>
    <n v="2"/>
    <n v="3"/>
    <x v="3"/>
    <n v="1"/>
    <n v="1204"/>
    <m/>
    <n v="3"/>
    <x v="3"/>
    <x v="5"/>
    <x v="3"/>
    <n v="17048"/>
    <x v="1"/>
    <s v="Jan"/>
  </r>
  <r>
    <n v="44"/>
    <x v="0"/>
    <x v="1"/>
    <m/>
    <m/>
    <s v="Non-Travel"/>
    <n v="111"/>
    <x v="1"/>
    <n v="17"/>
    <n v="3"/>
    <x v="0"/>
    <n v="1"/>
    <n v="1206"/>
    <m/>
    <n v="4"/>
    <x v="1"/>
    <x v="1"/>
    <x v="2"/>
    <n v="2290"/>
    <x v="1"/>
    <s v="Jan"/>
  </r>
  <r>
    <n v="33"/>
    <x v="2"/>
    <x v="1"/>
    <m/>
    <m/>
    <s v="Travel_Rarely"/>
    <n v="147"/>
    <x v="2"/>
    <n v="2"/>
    <n v="3"/>
    <x v="5"/>
    <n v="1"/>
    <n v="1207"/>
    <m/>
    <n v="2"/>
    <x v="1"/>
    <x v="8"/>
    <x v="2"/>
    <n v="3600"/>
    <x v="1"/>
    <s v="Jan"/>
  </r>
  <r>
    <n v="41"/>
    <x v="0"/>
    <x v="0"/>
    <m/>
    <m/>
    <s v="Non-Travel"/>
    <n v="906"/>
    <x v="1"/>
    <n v="5"/>
    <n v="2"/>
    <x v="0"/>
    <n v="1"/>
    <n v="1210"/>
    <m/>
    <n v="1"/>
    <x v="1"/>
    <x v="1"/>
    <x v="3"/>
    <n v="2107"/>
    <x v="1"/>
    <s v="Jan"/>
  </r>
  <r>
    <n v="30"/>
    <x v="2"/>
    <x v="1"/>
    <m/>
    <m/>
    <s v="Travel_Rarely"/>
    <n v="1329"/>
    <x v="0"/>
    <n v="29"/>
    <n v="4"/>
    <x v="0"/>
    <n v="1"/>
    <n v="1211"/>
    <m/>
    <n v="3"/>
    <x v="0"/>
    <x v="0"/>
    <x v="3"/>
    <n v="4115"/>
    <x v="1"/>
    <s v="Jan"/>
  </r>
  <r>
    <n v="40"/>
    <x v="0"/>
    <x v="1"/>
    <m/>
    <m/>
    <s v="Travel_Frequently"/>
    <n v="1184"/>
    <x v="0"/>
    <n v="2"/>
    <n v="4"/>
    <x v="2"/>
    <n v="1"/>
    <n v="1212"/>
    <m/>
    <n v="2"/>
    <x v="0"/>
    <x v="0"/>
    <x v="1"/>
    <n v="4327"/>
    <x v="1"/>
    <s v="Jan"/>
  </r>
  <r>
    <n v="50"/>
    <x v="1"/>
    <x v="1"/>
    <m/>
    <m/>
    <s v="Travel_Frequently"/>
    <n v="1421"/>
    <x v="1"/>
    <n v="2"/>
    <n v="3"/>
    <x v="2"/>
    <n v="1"/>
    <n v="1215"/>
    <m/>
    <n v="4"/>
    <x v="3"/>
    <x v="5"/>
    <x v="3"/>
    <n v="17856"/>
    <x v="1"/>
    <s v="Jan"/>
  </r>
  <r>
    <n v="28"/>
    <x v="2"/>
    <x v="1"/>
    <m/>
    <m/>
    <s v="Travel_Rarely"/>
    <n v="1179"/>
    <x v="1"/>
    <n v="19"/>
    <n v="4"/>
    <x v="2"/>
    <n v="1"/>
    <n v="1216"/>
    <m/>
    <n v="4"/>
    <x v="1"/>
    <x v="2"/>
    <x v="3"/>
    <n v="3196"/>
    <x v="1"/>
    <s v="Jan"/>
  </r>
  <r>
    <n v="46"/>
    <x v="1"/>
    <x v="1"/>
    <m/>
    <m/>
    <s v="Travel_Rarely"/>
    <n v="1450"/>
    <x v="1"/>
    <n v="15"/>
    <n v="2"/>
    <x v="0"/>
    <n v="1"/>
    <n v="1217"/>
    <m/>
    <n v="4"/>
    <x v="4"/>
    <x v="7"/>
    <x v="1"/>
    <n v="19081"/>
    <x v="1"/>
    <s v="Jan"/>
  </r>
  <r>
    <n v="35"/>
    <x v="0"/>
    <x v="1"/>
    <m/>
    <m/>
    <s v="Travel_Rarely"/>
    <n v="1361"/>
    <x v="0"/>
    <n v="17"/>
    <n v="4"/>
    <x v="0"/>
    <n v="1"/>
    <n v="1218"/>
    <m/>
    <n v="3"/>
    <x v="0"/>
    <x v="0"/>
    <x v="3"/>
    <n v="8966"/>
    <x v="0"/>
    <s v="Jan"/>
  </r>
  <r>
    <n v="24"/>
    <x v="4"/>
    <x v="0"/>
    <m/>
    <m/>
    <s v="Travel_Rarely"/>
    <n v="984"/>
    <x v="1"/>
    <n v="17"/>
    <n v="2"/>
    <x v="0"/>
    <n v="1"/>
    <n v="1219"/>
    <m/>
    <n v="4"/>
    <x v="1"/>
    <x v="2"/>
    <x v="1"/>
    <n v="2210"/>
    <x v="1"/>
    <s v="Jan"/>
  </r>
  <r>
    <n v="33"/>
    <x v="2"/>
    <x v="1"/>
    <m/>
    <m/>
    <s v="Travel_Frequently"/>
    <n v="1146"/>
    <x v="0"/>
    <n v="25"/>
    <n v="3"/>
    <x v="2"/>
    <n v="1"/>
    <n v="1220"/>
    <m/>
    <n v="2"/>
    <x v="0"/>
    <x v="0"/>
    <x v="2"/>
    <n v="4539"/>
    <x v="1"/>
    <s v="Jan"/>
  </r>
  <r>
    <n v="36"/>
    <x v="0"/>
    <x v="1"/>
    <m/>
    <m/>
    <s v="Travel_Rarely"/>
    <n v="917"/>
    <x v="1"/>
    <n v="6"/>
    <n v="4"/>
    <x v="0"/>
    <n v="1"/>
    <n v="1221"/>
    <m/>
    <n v="3"/>
    <x v="1"/>
    <x v="2"/>
    <x v="2"/>
    <n v="2741"/>
    <x v="1"/>
    <s v="Jan"/>
  </r>
  <r>
    <n v="30"/>
    <x v="2"/>
    <x v="1"/>
    <m/>
    <m/>
    <s v="Travel_Rarely"/>
    <n v="853"/>
    <x v="1"/>
    <n v="7"/>
    <n v="4"/>
    <x v="0"/>
    <n v="1"/>
    <n v="1224"/>
    <m/>
    <n v="3"/>
    <x v="0"/>
    <x v="2"/>
    <x v="2"/>
    <n v="3491"/>
    <x v="1"/>
    <s v="Jan"/>
  </r>
  <r>
    <n v="44"/>
    <x v="0"/>
    <x v="1"/>
    <m/>
    <m/>
    <s v="Travel_Rarely"/>
    <n v="200"/>
    <x v="1"/>
    <n v="29"/>
    <n v="4"/>
    <x v="1"/>
    <n v="1"/>
    <n v="1225"/>
    <m/>
    <n v="4"/>
    <x v="0"/>
    <x v="1"/>
    <x v="0"/>
    <n v="4541"/>
    <x v="1"/>
    <s v="Jan"/>
  </r>
  <r>
    <n v="20"/>
    <x v="4"/>
    <x v="1"/>
    <m/>
    <m/>
    <s v="Travel_Rarely"/>
    <n v="654"/>
    <x v="0"/>
    <n v="21"/>
    <n v="3"/>
    <x v="3"/>
    <n v="1"/>
    <n v="1226"/>
    <m/>
    <n v="3"/>
    <x v="1"/>
    <x v="6"/>
    <x v="0"/>
    <n v="2678"/>
    <x v="1"/>
    <s v="Jan"/>
  </r>
  <r>
    <n v="46"/>
    <x v="1"/>
    <x v="1"/>
    <m/>
    <m/>
    <s v="Travel_Rarely"/>
    <n v="150"/>
    <x v="1"/>
    <n v="2"/>
    <n v="4"/>
    <x v="4"/>
    <n v="1"/>
    <n v="1228"/>
    <m/>
    <n v="4"/>
    <x v="0"/>
    <x v="3"/>
    <x v="0"/>
    <n v="7379"/>
    <x v="1"/>
    <s v="Jan"/>
  </r>
  <r>
    <n v="42"/>
    <x v="0"/>
    <x v="1"/>
    <m/>
    <m/>
    <s v="Non-Travel"/>
    <n v="179"/>
    <x v="2"/>
    <n v="2"/>
    <n v="5"/>
    <x v="2"/>
    <n v="1"/>
    <n v="1231"/>
    <m/>
    <n v="4"/>
    <x v="0"/>
    <x v="8"/>
    <x v="3"/>
    <n v="6272"/>
    <x v="1"/>
    <s v="Jan"/>
  </r>
  <r>
    <n v="60"/>
    <x v="3"/>
    <x v="1"/>
    <m/>
    <m/>
    <s v="Travel_Rarely"/>
    <n v="696"/>
    <x v="0"/>
    <n v="7"/>
    <n v="4"/>
    <x v="3"/>
    <n v="1"/>
    <n v="1233"/>
    <m/>
    <n v="2"/>
    <x v="0"/>
    <x v="0"/>
    <x v="0"/>
    <n v="5220"/>
    <x v="0"/>
    <s v="Jan"/>
  </r>
  <r>
    <n v="32"/>
    <x v="2"/>
    <x v="1"/>
    <m/>
    <m/>
    <s v="Travel_Frequently"/>
    <n v="116"/>
    <x v="1"/>
    <n v="13"/>
    <n v="3"/>
    <x v="1"/>
    <n v="1"/>
    <n v="1234"/>
    <m/>
    <n v="3"/>
    <x v="1"/>
    <x v="2"/>
    <x v="1"/>
    <n v="2743"/>
    <x v="1"/>
    <s v="Jan"/>
  </r>
  <r>
    <n v="32"/>
    <x v="2"/>
    <x v="1"/>
    <m/>
    <m/>
    <s v="Travel_Frequently"/>
    <n v="1316"/>
    <x v="1"/>
    <n v="2"/>
    <n v="2"/>
    <x v="0"/>
    <n v="1"/>
    <n v="1235"/>
    <m/>
    <n v="4"/>
    <x v="0"/>
    <x v="1"/>
    <x v="2"/>
    <n v="4998"/>
    <x v="0"/>
    <s v="Jan"/>
  </r>
  <r>
    <n v="36"/>
    <x v="0"/>
    <x v="1"/>
    <m/>
    <m/>
    <s v="Travel_Rarely"/>
    <n v="363"/>
    <x v="1"/>
    <n v="1"/>
    <n v="3"/>
    <x v="4"/>
    <n v="1"/>
    <n v="1237"/>
    <m/>
    <n v="3"/>
    <x v="2"/>
    <x v="3"/>
    <x v="3"/>
    <n v="10252"/>
    <x v="0"/>
    <s v="Jan"/>
  </r>
  <r>
    <n v="33"/>
    <x v="2"/>
    <x v="1"/>
    <m/>
    <m/>
    <s v="Travel_Rarely"/>
    <n v="117"/>
    <x v="1"/>
    <n v="9"/>
    <n v="3"/>
    <x v="2"/>
    <n v="1"/>
    <n v="1238"/>
    <m/>
    <n v="1"/>
    <x v="1"/>
    <x v="1"/>
    <x v="0"/>
    <n v="2781"/>
    <x v="1"/>
    <s v="Jan"/>
  </r>
  <r>
    <n v="40"/>
    <x v="0"/>
    <x v="1"/>
    <m/>
    <m/>
    <s v="Travel_Rarely"/>
    <n v="107"/>
    <x v="0"/>
    <n v="10"/>
    <n v="3"/>
    <x v="4"/>
    <n v="1"/>
    <n v="1239"/>
    <m/>
    <n v="2"/>
    <x v="0"/>
    <x v="0"/>
    <x v="1"/>
    <n v="6852"/>
    <x v="1"/>
    <s v="Jan"/>
  </r>
  <r>
    <n v="25"/>
    <x v="2"/>
    <x v="1"/>
    <m/>
    <m/>
    <s v="Travel_Rarely"/>
    <n v="1356"/>
    <x v="0"/>
    <n v="10"/>
    <n v="4"/>
    <x v="0"/>
    <n v="1"/>
    <n v="1240"/>
    <m/>
    <n v="3"/>
    <x v="0"/>
    <x v="0"/>
    <x v="0"/>
    <n v="4950"/>
    <x v="1"/>
    <s v="Jan"/>
  </r>
  <r>
    <n v="30"/>
    <x v="2"/>
    <x v="1"/>
    <m/>
    <m/>
    <s v="Travel_Rarely"/>
    <n v="1465"/>
    <x v="1"/>
    <n v="1"/>
    <n v="3"/>
    <x v="2"/>
    <n v="1"/>
    <n v="1241"/>
    <m/>
    <n v="4"/>
    <x v="1"/>
    <x v="1"/>
    <x v="1"/>
    <n v="3579"/>
    <x v="0"/>
    <s v="Jan"/>
  </r>
  <r>
    <n v="42"/>
    <x v="0"/>
    <x v="1"/>
    <m/>
    <m/>
    <s v="Travel_Frequently"/>
    <n v="458"/>
    <x v="1"/>
    <n v="26"/>
    <n v="5"/>
    <x v="2"/>
    <n v="1"/>
    <n v="1242"/>
    <m/>
    <n v="1"/>
    <x v="2"/>
    <x v="7"/>
    <x v="3"/>
    <n v="13191"/>
    <x v="0"/>
    <s v="Jan"/>
  </r>
  <r>
    <n v="35"/>
    <x v="0"/>
    <x v="1"/>
    <m/>
    <m/>
    <s v="Non-Travel"/>
    <n v="1212"/>
    <x v="0"/>
    <n v="8"/>
    <n v="2"/>
    <x v="3"/>
    <n v="1"/>
    <n v="1243"/>
    <m/>
    <n v="3"/>
    <x v="2"/>
    <x v="0"/>
    <x v="0"/>
    <n v="10377"/>
    <x v="0"/>
    <s v="Jan"/>
  </r>
  <r>
    <n v="27"/>
    <x v="2"/>
    <x v="1"/>
    <m/>
    <m/>
    <s v="Travel_Rarely"/>
    <n v="1103"/>
    <x v="1"/>
    <n v="14"/>
    <n v="3"/>
    <x v="0"/>
    <n v="1"/>
    <n v="1244"/>
    <m/>
    <n v="1"/>
    <x v="1"/>
    <x v="1"/>
    <x v="3"/>
    <n v="2235"/>
    <x v="0"/>
    <s v="Jan"/>
  </r>
  <r>
    <n v="54"/>
    <x v="1"/>
    <x v="1"/>
    <m/>
    <m/>
    <s v="Travel_Frequently"/>
    <n v="966"/>
    <x v="1"/>
    <n v="1"/>
    <n v="4"/>
    <x v="0"/>
    <n v="1"/>
    <n v="1245"/>
    <m/>
    <n v="4"/>
    <x v="2"/>
    <x v="3"/>
    <x v="2"/>
    <n v="10502"/>
    <x v="1"/>
    <s v="Jan"/>
  </r>
  <r>
    <n v="44"/>
    <x v="0"/>
    <x v="1"/>
    <m/>
    <m/>
    <s v="Travel_Rarely"/>
    <n v="1117"/>
    <x v="1"/>
    <n v="2"/>
    <n v="1"/>
    <x v="0"/>
    <n v="1"/>
    <n v="1246"/>
    <m/>
    <n v="1"/>
    <x v="1"/>
    <x v="1"/>
    <x v="0"/>
    <n v="2011"/>
    <x v="1"/>
    <s v="Jan"/>
  </r>
  <r>
    <n v="19"/>
    <x v="4"/>
    <x v="0"/>
    <m/>
    <m/>
    <s v="Non-Travel"/>
    <n v="504"/>
    <x v="1"/>
    <n v="10"/>
    <n v="3"/>
    <x v="2"/>
    <n v="1"/>
    <n v="1248"/>
    <m/>
    <n v="1"/>
    <x v="1"/>
    <x v="1"/>
    <x v="1"/>
    <n v="1859"/>
    <x v="0"/>
    <s v="Jan"/>
  </r>
  <r>
    <n v="29"/>
    <x v="2"/>
    <x v="1"/>
    <m/>
    <m/>
    <s v="Travel_Rarely"/>
    <n v="1010"/>
    <x v="1"/>
    <n v="1"/>
    <n v="3"/>
    <x v="0"/>
    <n v="1"/>
    <n v="1249"/>
    <m/>
    <n v="1"/>
    <x v="1"/>
    <x v="1"/>
    <x v="0"/>
    <n v="3760"/>
    <x v="1"/>
    <s v="Jan"/>
  </r>
  <r>
    <n v="54"/>
    <x v="1"/>
    <x v="1"/>
    <m/>
    <m/>
    <s v="Travel_Rarely"/>
    <n v="685"/>
    <x v="1"/>
    <n v="3"/>
    <n v="3"/>
    <x v="0"/>
    <n v="1"/>
    <n v="1250"/>
    <m/>
    <n v="4"/>
    <x v="3"/>
    <x v="7"/>
    <x v="0"/>
    <n v="17779"/>
    <x v="1"/>
    <s v="Jan"/>
  </r>
  <r>
    <n v="31"/>
    <x v="2"/>
    <x v="1"/>
    <m/>
    <m/>
    <s v="Travel_Rarely"/>
    <n v="1332"/>
    <x v="1"/>
    <n v="11"/>
    <n v="2"/>
    <x v="2"/>
    <n v="1"/>
    <n v="1251"/>
    <m/>
    <n v="3"/>
    <x v="0"/>
    <x v="4"/>
    <x v="3"/>
    <n v="6833"/>
    <x v="0"/>
    <s v="Jan"/>
  </r>
  <r>
    <n v="31"/>
    <x v="2"/>
    <x v="1"/>
    <m/>
    <m/>
    <s v="Travel_Rarely"/>
    <n v="1062"/>
    <x v="1"/>
    <n v="24"/>
    <n v="3"/>
    <x v="2"/>
    <n v="1"/>
    <n v="1252"/>
    <m/>
    <n v="3"/>
    <x v="0"/>
    <x v="4"/>
    <x v="3"/>
    <n v="6812"/>
    <x v="1"/>
    <s v="Jan"/>
  </r>
  <r>
    <n v="59"/>
    <x v="3"/>
    <x v="1"/>
    <m/>
    <m/>
    <s v="Travel_Rarely"/>
    <n v="326"/>
    <x v="0"/>
    <n v="3"/>
    <n v="3"/>
    <x v="0"/>
    <n v="1"/>
    <n v="1254"/>
    <m/>
    <n v="3"/>
    <x v="0"/>
    <x v="0"/>
    <x v="0"/>
    <n v="5171"/>
    <x v="1"/>
    <s v="Jan"/>
  </r>
  <r>
    <n v="43"/>
    <x v="0"/>
    <x v="1"/>
    <m/>
    <m/>
    <s v="Travel_Rarely"/>
    <n v="920"/>
    <x v="1"/>
    <n v="3"/>
    <n v="3"/>
    <x v="0"/>
    <n v="1"/>
    <n v="1255"/>
    <m/>
    <n v="3"/>
    <x v="4"/>
    <x v="7"/>
    <x v="0"/>
    <n v="19740"/>
    <x v="1"/>
    <s v="Jan"/>
  </r>
  <r>
    <n v="49"/>
    <x v="1"/>
    <x v="1"/>
    <m/>
    <m/>
    <s v="Travel_Rarely"/>
    <n v="1098"/>
    <x v="1"/>
    <n v="4"/>
    <n v="2"/>
    <x v="2"/>
    <n v="1"/>
    <n v="1256"/>
    <m/>
    <n v="1"/>
    <x v="4"/>
    <x v="5"/>
    <x v="2"/>
    <n v="18711"/>
    <x v="1"/>
    <s v="Jan"/>
  </r>
  <r>
    <n v="36"/>
    <x v="0"/>
    <x v="1"/>
    <m/>
    <m/>
    <s v="Travel_Frequently"/>
    <n v="469"/>
    <x v="1"/>
    <n v="3"/>
    <n v="3"/>
    <x v="4"/>
    <n v="1"/>
    <n v="1257"/>
    <m/>
    <n v="3"/>
    <x v="1"/>
    <x v="1"/>
    <x v="1"/>
    <n v="3692"/>
    <x v="1"/>
    <s v="Jan"/>
  </r>
  <r>
    <n v="48"/>
    <x v="1"/>
    <x v="1"/>
    <m/>
    <m/>
    <s v="Travel_Rarely"/>
    <n v="969"/>
    <x v="1"/>
    <n v="2"/>
    <n v="2"/>
    <x v="4"/>
    <n v="1"/>
    <n v="1258"/>
    <m/>
    <n v="4"/>
    <x v="1"/>
    <x v="2"/>
    <x v="1"/>
    <n v="2559"/>
    <x v="1"/>
    <s v="Jan"/>
  </r>
  <r>
    <n v="27"/>
    <x v="2"/>
    <x v="1"/>
    <m/>
    <m/>
    <s v="Travel_Rarely"/>
    <n v="1167"/>
    <x v="1"/>
    <n v="4"/>
    <n v="2"/>
    <x v="0"/>
    <n v="1"/>
    <n v="1259"/>
    <m/>
    <n v="1"/>
    <x v="1"/>
    <x v="1"/>
    <x v="2"/>
    <n v="2517"/>
    <x v="1"/>
    <s v="Jan"/>
  </r>
  <r>
    <n v="29"/>
    <x v="2"/>
    <x v="1"/>
    <m/>
    <m/>
    <s v="Travel_Rarely"/>
    <n v="1329"/>
    <x v="1"/>
    <n v="7"/>
    <n v="3"/>
    <x v="0"/>
    <n v="1"/>
    <n v="1260"/>
    <m/>
    <n v="3"/>
    <x v="0"/>
    <x v="4"/>
    <x v="0"/>
    <n v="6623"/>
    <x v="0"/>
    <s v="Jan"/>
  </r>
  <r>
    <n v="48"/>
    <x v="1"/>
    <x v="1"/>
    <m/>
    <m/>
    <s v="Travel_Rarely"/>
    <n v="715"/>
    <x v="1"/>
    <n v="1"/>
    <n v="3"/>
    <x v="0"/>
    <n v="1"/>
    <n v="1263"/>
    <m/>
    <n v="4"/>
    <x v="4"/>
    <x v="7"/>
    <x v="0"/>
    <n v="18265"/>
    <x v="1"/>
    <s v="Jan"/>
  </r>
  <r>
    <n v="29"/>
    <x v="2"/>
    <x v="1"/>
    <m/>
    <m/>
    <s v="Travel_Rarely"/>
    <n v="694"/>
    <x v="1"/>
    <n v="1"/>
    <n v="3"/>
    <x v="0"/>
    <n v="1"/>
    <n v="1264"/>
    <m/>
    <n v="4"/>
    <x v="3"/>
    <x v="7"/>
    <x v="0"/>
    <n v="16124"/>
    <x v="1"/>
    <s v="Jan"/>
  </r>
  <r>
    <n v="34"/>
    <x v="2"/>
    <x v="1"/>
    <m/>
    <m/>
    <s v="Travel_Rarely"/>
    <n v="1320"/>
    <x v="1"/>
    <n v="20"/>
    <n v="3"/>
    <x v="4"/>
    <n v="1"/>
    <n v="1265"/>
    <m/>
    <n v="3"/>
    <x v="1"/>
    <x v="1"/>
    <x v="2"/>
    <n v="2585"/>
    <x v="1"/>
    <s v="Jan"/>
  </r>
  <r>
    <n v="44"/>
    <x v="0"/>
    <x v="1"/>
    <m/>
    <m/>
    <s v="Travel_Rarely"/>
    <n v="1099"/>
    <x v="0"/>
    <n v="5"/>
    <n v="3"/>
    <x v="3"/>
    <n v="1"/>
    <n v="1267"/>
    <m/>
    <n v="2"/>
    <x v="4"/>
    <x v="5"/>
    <x v="1"/>
    <n v="18213"/>
    <x v="1"/>
    <s v="Jan"/>
  </r>
  <r>
    <n v="33"/>
    <x v="2"/>
    <x v="1"/>
    <m/>
    <m/>
    <s v="Travel_Rarely"/>
    <n v="536"/>
    <x v="0"/>
    <n v="10"/>
    <n v="5"/>
    <x v="3"/>
    <n v="1"/>
    <n v="1268"/>
    <m/>
    <n v="4"/>
    <x v="2"/>
    <x v="0"/>
    <x v="2"/>
    <n v="8380"/>
    <x v="0"/>
    <s v="Jan"/>
  </r>
  <r>
    <n v="19"/>
    <x v="4"/>
    <x v="1"/>
    <m/>
    <m/>
    <s v="Travel_Rarely"/>
    <n v="265"/>
    <x v="1"/>
    <n v="25"/>
    <n v="3"/>
    <x v="0"/>
    <n v="1"/>
    <n v="1269"/>
    <m/>
    <n v="2"/>
    <x v="1"/>
    <x v="1"/>
    <x v="0"/>
    <n v="2994"/>
    <x v="0"/>
    <s v="Jan"/>
  </r>
  <r>
    <n v="23"/>
    <x v="4"/>
    <x v="1"/>
    <m/>
    <m/>
    <s v="Travel_Rarely"/>
    <n v="373"/>
    <x v="1"/>
    <n v="1"/>
    <n v="2"/>
    <x v="0"/>
    <n v="1"/>
    <n v="1270"/>
    <m/>
    <n v="4"/>
    <x v="1"/>
    <x v="1"/>
    <x v="2"/>
    <n v="1223"/>
    <x v="1"/>
    <s v="Jan"/>
  </r>
  <r>
    <n v="25"/>
    <x v="2"/>
    <x v="0"/>
    <m/>
    <m/>
    <s v="Travel_Frequently"/>
    <n v="599"/>
    <x v="0"/>
    <n v="24"/>
    <n v="1"/>
    <x v="0"/>
    <n v="1"/>
    <n v="1273"/>
    <m/>
    <n v="3"/>
    <x v="1"/>
    <x v="6"/>
    <x v="0"/>
    <n v="1118"/>
    <x v="0"/>
    <s v="Jan"/>
  </r>
  <r>
    <n v="26"/>
    <x v="2"/>
    <x v="1"/>
    <m/>
    <m/>
    <s v="Travel_Rarely"/>
    <n v="583"/>
    <x v="1"/>
    <n v="4"/>
    <n v="2"/>
    <x v="0"/>
    <n v="1"/>
    <n v="1275"/>
    <m/>
    <n v="3"/>
    <x v="1"/>
    <x v="1"/>
    <x v="0"/>
    <n v="2875"/>
    <x v="0"/>
    <s v="Jan"/>
  </r>
  <r>
    <n v="45"/>
    <x v="1"/>
    <x v="0"/>
    <m/>
    <m/>
    <s v="Travel_Rarely"/>
    <n v="1449"/>
    <x v="0"/>
    <n v="2"/>
    <n v="3"/>
    <x v="3"/>
    <n v="1"/>
    <n v="1277"/>
    <m/>
    <n v="1"/>
    <x v="4"/>
    <x v="5"/>
    <x v="1"/>
    <n v="18824"/>
    <x v="0"/>
    <s v="Jan"/>
  </r>
  <r>
    <n v="55"/>
    <x v="3"/>
    <x v="1"/>
    <m/>
    <m/>
    <s v="Non-Travel"/>
    <n v="177"/>
    <x v="1"/>
    <n v="8"/>
    <n v="1"/>
    <x v="2"/>
    <n v="1"/>
    <n v="1278"/>
    <m/>
    <n v="4"/>
    <x v="3"/>
    <x v="4"/>
    <x v="1"/>
    <n v="13577"/>
    <x v="0"/>
    <s v="Jan"/>
  </r>
  <r>
    <n v="21"/>
    <x v="4"/>
    <x v="0"/>
    <m/>
    <m/>
    <s v="Travel_Frequently"/>
    <n v="251"/>
    <x v="1"/>
    <n v="10"/>
    <n v="2"/>
    <x v="0"/>
    <n v="1"/>
    <n v="1279"/>
    <m/>
    <n v="1"/>
    <x v="1"/>
    <x v="2"/>
    <x v="2"/>
    <n v="2625"/>
    <x v="1"/>
    <s v="Jan"/>
  </r>
  <r>
    <n v="46"/>
    <x v="1"/>
    <x v="1"/>
    <m/>
    <m/>
    <s v="Travel_Rarely"/>
    <n v="168"/>
    <x v="0"/>
    <n v="4"/>
    <n v="2"/>
    <x v="3"/>
    <n v="1"/>
    <n v="1280"/>
    <m/>
    <n v="4"/>
    <x v="4"/>
    <x v="5"/>
    <x v="1"/>
    <n v="18789"/>
    <x v="1"/>
    <s v="Jan"/>
  </r>
  <r>
    <n v="34"/>
    <x v="2"/>
    <x v="1"/>
    <m/>
    <m/>
    <s v="Travel_Rarely"/>
    <n v="131"/>
    <x v="0"/>
    <n v="2"/>
    <n v="3"/>
    <x v="3"/>
    <n v="1"/>
    <n v="1281"/>
    <m/>
    <n v="3"/>
    <x v="0"/>
    <x v="0"/>
    <x v="3"/>
    <n v="4538"/>
    <x v="0"/>
    <s v="Jan"/>
  </r>
  <r>
    <n v="51"/>
    <x v="1"/>
    <x v="1"/>
    <m/>
    <m/>
    <s v="Travel_Frequently"/>
    <n v="237"/>
    <x v="0"/>
    <n v="9"/>
    <n v="3"/>
    <x v="0"/>
    <n v="1"/>
    <n v="1282"/>
    <m/>
    <n v="4"/>
    <x v="4"/>
    <x v="5"/>
    <x v="1"/>
    <n v="19847"/>
    <x v="0"/>
    <s v="Jan"/>
  </r>
  <r>
    <n v="59"/>
    <x v="3"/>
    <x v="1"/>
    <m/>
    <m/>
    <s v="Travel_Rarely"/>
    <n v="1429"/>
    <x v="1"/>
    <n v="18"/>
    <n v="4"/>
    <x v="2"/>
    <n v="1"/>
    <n v="1283"/>
    <m/>
    <n v="4"/>
    <x v="2"/>
    <x v="3"/>
    <x v="0"/>
    <n v="10512"/>
    <x v="1"/>
    <s v="Jan"/>
  </r>
  <r>
    <n v="34"/>
    <x v="2"/>
    <x v="1"/>
    <m/>
    <m/>
    <s v="Travel_Frequently"/>
    <n v="135"/>
    <x v="1"/>
    <n v="19"/>
    <n v="3"/>
    <x v="2"/>
    <n v="1"/>
    <n v="1285"/>
    <m/>
    <n v="3"/>
    <x v="0"/>
    <x v="2"/>
    <x v="1"/>
    <n v="4444"/>
    <x v="1"/>
    <s v="Jan"/>
  </r>
  <r>
    <n v="28"/>
    <x v="2"/>
    <x v="1"/>
    <m/>
    <m/>
    <s v="Travel_Frequently"/>
    <n v="791"/>
    <x v="1"/>
    <n v="1"/>
    <n v="4"/>
    <x v="2"/>
    <n v="1"/>
    <n v="1286"/>
    <m/>
    <n v="4"/>
    <x v="1"/>
    <x v="2"/>
    <x v="2"/>
    <n v="2154"/>
    <x v="0"/>
    <s v="Jan"/>
  </r>
  <r>
    <n v="44"/>
    <x v="0"/>
    <x v="1"/>
    <m/>
    <m/>
    <s v="Travel_Rarely"/>
    <n v="1199"/>
    <x v="1"/>
    <n v="4"/>
    <n v="2"/>
    <x v="0"/>
    <n v="1"/>
    <n v="1288"/>
    <m/>
    <n v="3"/>
    <x v="4"/>
    <x v="5"/>
    <x v="3"/>
    <n v="19190"/>
    <x v="1"/>
    <s v="Jan"/>
  </r>
  <r>
    <n v="34"/>
    <x v="2"/>
    <x v="1"/>
    <m/>
    <m/>
    <s v="Travel_Frequently"/>
    <n v="648"/>
    <x v="2"/>
    <n v="11"/>
    <n v="3"/>
    <x v="0"/>
    <n v="1"/>
    <n v="1289"/>
    <m/>
    <n v="3"/>
    <x v="0"/>
    <x v="8"/>
    <x v="1"/>
    <n v="4490"/>
    <x v="1"/>
    <s v="Jan"/>
  </r>
  <r>
    <n v="35"/>
    <x v="0"/>
    <x v="1"/>
    <m/>
    <m/>
    <s v="Travel_Rarely"/>
    <n v="735"/>
    <x v="1"/>
    <n v="6"/>
    <n v="1"/>
    <x v="0"/>
    <n v="1"/>
    <n v="1291"/>
    <m/>
    <n v="3"/>
    <x v="1"/>
    <x v="1"/>
    <x v="2"/>
    <n v="3506"/>
    <x v="0"/>
    <s v="Jan"/>
  </r>
  <r>
    <n v="42"/>
    <x v="0"/>
    <x v="1"/>
    <m/>
    <m/>
    <s v="Travel_Rarely"/>
    <n v="603"/>
    <x v="1"/>
    <n v="7"/>
    <n v="4"/>
    <x v="2"/>
    <n v="1"/>
    <n v="1292"/>
    <m/>
    <n v="2"/>
    <x v="0"/>
    <x v="1"/>
    <x v="1"/>
    <n v="2372"/>
    <x v="0"/>
    <s v="Jan"/>
  </r>
  <r>
    <n v="43"/>
    <x v="0"/>
    <x v="1"/>
    <m/>
    <m/>
    <s v="Travel_Rarely"/>
    <n v="531"/>
    <x v="0"/>
    <n v="4"/>
    <n v="4"/>
    <x v="3"/>
    <n v="1"/>
    <n v="1293"/>
    <m/>
    <n v="4"/>
    <x v="2"/>
    <x v="0"/>
    <x v="0"/>
    <n v="10231"/>
    <x v="1"/>
    <s v="Jan"/>
  </r>
  <r>
    <n v="36"/>
    <x v="0"/>
    <x v="1"/>
    <m/>
    <m/>
    <s v="Travel_Rarely"/>
    <n v="429"/>
    <x v="1"/>
    <n v="2"/>
    <n v="4"/>
    <x v="0"/>
    <n v="1"/>
    <n v="1294"/>
    <m/>
    <n v="3"/>
    <x v="0"/>
    <x v="3"/>
    <x v="1"/>
    <n v="5410"/>
    <x v="0"/>
    <s v="Jan"/>
  </r>
  <r>
    <n v="44"/>
    <x v="0"/>
    <x v="0"/>
    <m/>
    <m/>
    <s v="Travel_Rarely"/>
    <n v="621"/>
    <x v="1"/>
    <n v="15"/>
    <n v="3"/>
    <x v="2"/>
    <n v="1"/>
    <n v="1295"/>
    <m/>
    <n v="1"/>
    <x v="2"/>
    <x v="4"/>
    <x v="0"/>
    <n v="7978"/>
    <x v="1"/>
    <s v="Jan"/>
  </r>
  <r>
    <n v="28"/>
    <x v="2"/>
    <x v="1"/>
    <m/>
    <m/>
    <s v="Travel_Frequently"/>
    <n v="193"/>
    <x v="1"/>
    <n v="2"/>
    <n v="3"/>
    <x v="0"/>
    <n v="1"/>
    <n v="1296"/>
    <m/>
    <n v="4"/>
    <x v="1"/>
    <x v="2"/>
    <x v="0"/>
    <n v="3867"/>
    <x v="0"/>
    <s v="Jan"/>
  </r>
  <r>
    <n v="51"/>
    <x v="1"/>
    <x v="1"/>
    <m/>
    <m/>
    <s v="Travel_Frequently"/>
    <n v="968"/>
    <x v="1"/>
    <n v="6"/>
    <n v="2"/>
    <x v="2"/>
    <n v="1"/>
    <n v="1297"/>
    <m/>
    <n v="2"/>
    <x v="1"/>
    <x v="2"/>
    <x v="2"/>
    <n v="2838"/>
    <x v="1"/>
    <s v="Jan"/>
  </r>
  <r>
    <n v="30"/>
    <x v="2"/>
    <x v="1"/>
    <m/>
    <m/>
    <s v="Non-Travel"/>
    <n v="879"/>
    <x v="1"/>
    <n v="9"/>
    <n v="2"/>
    <x v="2"/>
    <n v="1"/>
    <n v="1298"/>
    <m/>
    <n v="3"/>
    <x v="0"/>
    <x v="3"/>
    <x v="2"/>
    <n v="4695"/>
    <x v="0"/>
    <s v="Jan"/>
  </r>
  <r>
    <n v="29"/>
    <x v="2"/>
    <x v="0"/>
    <m/>
    <m/>
    <s v="Travel_Rarely"/>
    <n v="806"/>
    <x v="1"/>
    <n v="7"/>
    <n v="3"/>
    <x v="4"/>
    <n v="1"/>
    <n v="1299"/>
    <m/>
    <n v="2"/>
    <x v="1"/>
    <x v="2"/>
    <x v="2"/>
    <n v="3339"/>
    <x v="0"/>
    <s v="Jan"/>
  </r>
  <r>
    <n v="28"/>
    <x v="2"/>
    <x v="1"/>
    <m/>
    <m/>
    <s v="Travel_Rarely"/>
    <n v="640"/>
    <x v="1"/>
    <n v="1"/>
    <n v="3"/>
    <x v="4"/>
    <n v="1"/>
    <n v="1301"/>
    <m/>
    <n v="4"/>
    <x v="1"/>
    <x v="1"/>
    <x v="3"/>
    <n v="2080"/>
    <x v="1"/>
    <s v="Jan"/>
  </r>
  <r>
    <n v="25"/>
    <x v="2"/>
    <x v="1"/>
    <m/>
    <m/>
    <s v="Travel_Rarely"/>
    <n v="266"/>
    <x v="1"/>
    <n v="1"/>
    <n v="3"/>
    <x v="2"/>
    <n v="1"/>
    <n v="1303"/>
    <m/>
    <n v="4"/>
    <x v="1"/>
    <x v="1"/>
    <x v="1"/>
    <n v="2096"/>
    <x v="1"/>
    <s v="Jan"/>
  </r>
  <r>
    <n v="32"/>
    <x v="2"/>
    <x v="1"/>
    <m/>
    <m/>
    <s v="Travel_Rarely"/>
    <n v="604"/>
    <x v="0"/>
    <n v="8"/>
    <n v="3"/>
    <x v="2"/>
    <n v="1"/>
    <n v="1304"/>
    <m/>
    <n v="3"/>
    <x v="0"/>
    <x v="0"/>
    <x v="0"/>
    <n v="6209"/>
    <x v="1"/>
    <s v="Jan"/>
  </r>
  <r>
    <n v="45"/>
    <x v="1"/>
    <x v="1"/>
    <m/>
    <m/>
    <s v="Travel_Frequently"/>
    <n v="364"/>
    <x v="1"/>
    <n v="25"/>
    <n v="3"/>
    <x v="2"/>
    <n v="1"/>
    <n v="1306"/>
    <m/>
    <n v="2"/>
    <x v="4"/>
    <x v="5"/>
    <x v="1"/>
    <n v="18061"/>
    <x v="1"/>
    <s v="Jan"/>
  </r>
  <r>
    <n v="39"/>
    <x v="0"/>
    <x v="1"/>
    <m/>
    <m/>
    <s v="Travel_Rarely"/>
    <n v="412"/>
    <x v="1"/>
    <n v="13"/>
    <n v="4"/>
    <x v="2"/>
    <n v="1"/>
    <n v="1307"/>
    <m/>
    <n v="3"/>
    <x v="3"/>
    <x v="5"/>
    <x v="1"/>
    <n v="17123"/>
    <x v="0"/>
    <s v="Jan"/>
  </r>
  <r>
    <n v="58"/>
    <x v="3"/>
    <x v="1"/>
    <m/>
    <m/>
    <s v="Travel_Rarely"/>
    <n v="848"/>
    <x v="1"/>
    <n v="23"/>
    <n v="4"/>
    <x v="0"/>
    <n v="1"/>
    <n v="1308"/>
    <m/>
    <n v="1"/>
    <x v="1"/>
    <x v="1"/>
    <x v="2"/>
    <n v="2372"/>
    <x v="1"/>
    <s v="Jan"/>
  </r>
  <r>
    <n v="32"/>
    <x v="2"/>
    <x v="0"/>
    <m/>
    <m/>
    <s v="Travel_Rarely"/>
    <n v="1089"/>
    <x v="1"/>
    <n v="7"/>
    <n v="2"/>
    <x v="0"/>
    <n v="1"/>
    <n v="1309"/>
    <m/>
    <n v="4"/>
    <x v="0"/>
    <x v="2"/>
    <x v="2"/>
    <n v="4883"/>
    <x v="1"/>
    <s v="Jan"/>
  </r>
  <r>
    <n v="39"/>
    <x v="0"/>
    <x v="0"/>
    <m/>
    <m/>
    <s v="Travel_Rarely"/>
    <n v="360"/>
    <x v="1"/>
    <n v="23"/>
    <n v="3"/>
    <x v="2"/>
    <n v="1"/>
    <n v="1310"/>
    <m/>
    <n v="3"/>
    <x v="1"/>
    <x v="1"/>
    <x v="3"/>
    <n v="3904"/>
    <x v="1"/>
    <s v="Jan"/>
  </r>
  <r>
    <n v="30"/>
    <x v="2"/>
    <x v="1"/>
    <m/>
    <m/>
    <s v="Travel_Rarely"/>
    <n v="1138"/>
    <x v="1"/>
    <n v="6"/>
    <n v="3"/>
    <x v="4"/>
    <n v="1"/>
    <n v="1311"/>
    <m/>
    <n v="1"/>
    <x v="0"/>
    <x v="2"/>
    <x v="0"/>
    <n v="4627"/>
    <x v="1"/>
    <s v="Jan"/>
  </r>
  <r>
    <n v="36"/>
    <x v="0"/>
    <x v="1"/>
    <m/>
    <m/>
    <s v="Travel_Rarely"/>
    <n v="325"/>
    <x v="1"/>
    <n v="10"/>
    <n v="4"/>
    <x v="4"/>
    <n v="1"/>
    <n v="1312"/>
    <m/>
    <n v="4"/>
    <x v="2"/>
    <x v="4"/>
    <x v="2"/>
    <n v="7094"/>
    <x v="1"/>
    <s v="Jan"/>
  </r>
  <r>
    <n v="46"/>
    <x v="1"/>
    <x v="1"/>
    <m/>
    <m/>
    <s v="Travel_Rarely"/>
    <n v="991"/>
    <x v="2"/>
    <n v="1"/>
    <n v="2"/>
    <x v="0"/>
    <n v="1"/>
    <n v="1314"/>
    <m/>
    <n v="4"/>
    <x v="1"/>
    <x v="8"/>
    <x v="3"/>
    <n v="3423"/>
    <x v="1"/>
    <s v="Jan"/>
  </r>
  <r>
    <n v="28"/>
    <x v="2"/>
    <x v="1"/>
    <m/>
    <m/>
    <s v="Non-Travel"/>
    <n v="1476"/>
    <x v="1"/>
    <n v="1"/>
    <n v="3"/>
    <x v="0"/>
    <n v="1"/>
    <n v="1315"/>
    <m/>
    <n v="3"/>
    <x v="0"/>
    <x v="2"/>
    <x v="0"/>
    <n v="6674"/>
    <x v="1"/>
    <s v="Jan"/>
  </r>
  <r>
    <n v="50"/>
    <x v="1"/>
    <x v="1"/>
    <m/>
    <m/>
    <s v="Travel_Rarely"/>
    <n v="1322"/>
    <x v="1"/>
    <n v="28"/>
    <n v="3"/>
    <x v="0"/>
    <n v="1"/>
    <n v="1317"/>
    <m/>
    <n v="4"/>
    <x v="3"/>
    <x v="7"/>
    <x v="3"/>
    <n v="16880"/>
    <x v="0"/>
    <s v="Jan"/>
  </r>
  <r>
    <n v="40"/>
    <x v="0"/>
    <x v="0"/>
    <m/>
    <m/>
    <s v="Travel_Rarely"/>
    <n v="299"/>
    <x v="0"/>
    <n v="25"/>
    <n v="4"/>
    <x v="3"/>
    <n v="1"/>
    <n v="1318"/>
    <m/>
    <n v="4"/>
    <x v="2"/>
    <x v="0"/>
    <x v="1"/>
    <n v="9094"/>
    <x v="0"/>
    <s v="Jan"/>
  </r>
  <r>
    <n v="52"/>
    <x v="1"/>
    <x v="0"/>
    <m/>
    <m/>
    <s v="Travel_Rarely"/>
    <n v="1030"/>
    <x v="0"/>
    <n v="5"/>
    <n v="3"/>
    <x v="0"/>
    <n v="1"/>
    <n v="1319"/>
    <m/>
    <n v="2"/>
    <x v="2"/>
    <x v="0"/>
    <x v="1"/>
    <n v="8446"/>
    <x v="0"/>
    <s v="Jan"/>
  </r>
  <r>
    <n v="30"/>
    <x v="2"/>
    <x v="1"/>
    <m/>
    <m/>
    <s v="Travel_Rarely"/>
    <n v="634"/>
    <x v="1"/>
    <n v="17"/>
    <n v="4"/>
    <x v="2"/>
    <n v="1"/>
    <n v="1321"/>
    <m/>
    <n v="2"/>
    <x v="2"/>
    <x v="5"/>
    <x v="3"/>
    <n v="11916"/>
    <x v="0"/>
    <s v="Jan"/>
  </r>
  <r>
    <n v="39"/>
    <x v="0"/>
    <x v="1"/>
    <m/>
    <m/>
    <s v="Travel_Rarely"/>
    <n v="524"/>
    <x v="1"/>
    <n v="18"/>
    <n v="2"/>
    <x v="0"/>
    <n v="1"/>
    <n v="1322"/>
    <m/>
    <n v="1"/>
    <x v="0"/>
    <x v="3"/>
    <x v="2"/>
    <n v="4534"/>
    <x v="1"/>
    <s v="Jan"/>
  </r>
  <r>
    <n v="31"/>
    <x v="2"/>
    <x v="1"/>
    <m/>
    <m/>
    <s v="Non-Travel"/>
    <n v="587"/>
    <x v="0"/>
    <n v="2"/>
    <n v="4"/>
    <x v="0"/>
    <n v="1"/>
    <n v="1324"/>
    <m/>
    <n v="4"/>
    <x v="2"/>
    <x v="0"/>
    <x v="2"/>
    <n v="9852"/>
    <x v="0"/>
    <s v="Jan"/>
  </r>
  <r>
    <n v="41"/>
    <x v="0"/>
    <x v="1"/>
    <m/>
    <m/>
    <s v="Non-Travel"/>
    <n v="256"/>
    <x v="0"/>
    <n v="10"/>
    <n v="2"/>
    <x v="2"/>
    <n v="1"/>
    <n v="1329"/>
    <m/>
    <n v="3"/>
    <x v="0"/>
    <x v="0"/>
    <x v="1"/>
    <n v="6151"/>
    <x v="1"/>
    <s v="Jan"/>
  </r>
  <r>
    <n v="31"/>
    <x v="2"/>
    <x v="0"/>
    <m/>
    <m/>
    <s v="Travel_Frequently"/>
    <n v="1060"/>
    <x v="0"/>
    <n v="1"/>
    <n v="3"/>
    <x v="0"/>
    <n v="1"/>
    <n v="1331"/>
    <m/>
    <n v="4"/>
    <x v="1"/>
    <x v="6"/>
    <x v="1"/>
    <n v="2302"/>
    <x v="0"/>
    <s v="Jan"/>
  </r>
  <r>
    <n v="44"/>
    <x v="0"/>
    <x v="0"/>
    <m/>
    <m/>
    <s v="Travel_Rarely"/>
    <n v="935"/>
    <x v="1"/>
    <n v="3"/>
    <n v="3"/>
    <x v="0"/>
    <n v="1"/>
    <n v="1333"/>
    <m/>
    <n v="1"/>
    <x v="1"/>
    <x v="2"/>
    <x v="3"/>
    <n v="2362"/>
    <x v="1"/>
    <s v="Jan"/>
  </r>
  <r>
    <n v="42"/>
    <x v="0"/>
    <x v="1"/>
    <m/>
    <m/>
    <s v="Non-Travel"/>
    <n v="495"/>
    <x v="1"/>
    <n v="2"/>
    <n v="1"/>
    <x v="0"/>
    <n v="1"/>
    <n v="1334"/>
    <m/>
    <n v="3"/>
    <x v="3"/>
    <x v="5"/>
    <x v="2"/>
    <n v="17861"/>
    <x v="0"/>
    <s v="Jan"/>
  </r>
  <r>
    <n v="55"/>
    <x v="3"/>
    <x v="1"/>
    <m/>
    <m/>
    <s v="Travel_Rarely"/>
    <n v="282"/>
    <x v="1"/>
    <n v="2"/>
    <n v="2"/>
    <x v="2"/>
    <n v="1"/>
    <n v="1336"/>
    <m/>
    <n v="4"/>
    <x v="4"/>
    <x v="5"/>
    <x v="2"/>
    <n v="19187"/>
    <x v="1"/>
    <s v="Jan"/>
  </r>
  <r>
    <n v="56"/>
    <x v="3"/>
    <x v="1"/>
    <m/>
    <m/>
    <s v="Travel_Rarely"/>
    <n v="206"/>
    <x v="2"/>
    <n v="8"/>
    <n v="4"/>
    <x v="0"/>
    <n v="1"/>
    <n v="1338"/>
    <m/>
    <n v="4"/>
    <x v="4"/>
    <x v="5"/>
    <x v="1"/>
    <n v="19717"/>
    <x v="1"/>
    <s v="Jan"/>
  </r>
  <r>
    <n v="40"/>
    <x v="0"/>
    <x v="1"/>
    <m/>
    <m/>
    <s v="Non-Travel"/>
    <n v="458"/>
    <x v="1"/>
    <n v="16"/>
    <n v="2"/>
    <x v="0"/>
    <n v="1"/>
    <n v="1340"/>
    <m/>
    <n v="3"/>
    <x v="1"/>
    <x v="1"/>
    <x v="2"/>
    <n v="3544"/>
    <x v="1"/>
    <s v="Jan"/>
  </r>
  <r>
    <n v="34"/>
    <x v="2"/>
    <x v="1"/>
    <m/>
    <m/>
    <s v="Travel_Rarely"/>
    <n v="943"/>
    <x v="1"/>
    <n v="9"/>
    <n v="3"/>
    <x v="0"/>
    <n v="1"/>
    <n v="1344"/>
    <m/>
    <n v="4"/>
    <x v="2"/>
    <x v="4"/>
    <x v="0"/>
    <n v="8500"/>
    <x v="1"/>
    <s v="Jan"/>
  </r>
  <r>
    <n v="40"/>
    <x v="0"/>
    <x v="1"/>
    <m/>
    <m/>
    <s v="Travel_Rarely"/>
    <n v="523"/>
    <x v="1"/>
    <n v="2"/>
    <n v="3"/>
    <x v="0"/>
    <n v="1"/>
    <n v="1346"/>
    <m/>
    <n v="3"/>
    <x v="0"/>
    <x v="1"/>
    <x v="0"/>
    <n v="4661"/>
    <x v="1"/>
    <s v="Jan"/>
  </r>
  <r>
    <n v="41"/>
    <x v="0"/>
    <x v="1"/>
    <m/>
    <m/>
    <s v="Travel_Frequently"/>
    <n v="1018"/>
    <x v="0"/>
    <n v="1"/>
    <n v="3"/>
    <x v="3"/>
    <n v="1"/>
    <n v="1349"/>
    <m/>
    <n v="3"/>
    <x v="0"/>
    <x v="0"/>
    <x v="3"/>
    <n v="4103"/>
    <x v="1"/>
    <s v="Jan"/>
  </r>
  <r>
    <n v="35"/>
    <x v="0"/>
    <x v="1"/>
    <m/>
    <m/>
    <s v="Travel_Frequently"/>
    <n v="482"/>
    <x v="1"/>
    <n v="4"/>
    <n v="4"/>
    <x v="0"/>
    <n v="1"/>
    <n v="1350"/>
    <m/>
    <n v="3"/>
    <x v="0"/>
    <x v="1"/>
    <x v="2"/>
    <n v="4249"/>
    <x v="0"/>
    <s v="Jan"/>
  </r>
  <r>
    <n v="51"/>
    <x v="1"/>
    <x v="1"/>
    <m/>
    <m/>
    <s v="Travel_Rarely"/>
    <n v="770"/>
    <x v="2"/>
    <n v="5"/>
    <n v="3"/>
    <x v="0"/>
    <n v="1"/>
    <n v="1352"/>
    <m/>
    <n v="3"/>
    <x v="3"/>
    <x v="5"/>
    <x v="1"/>
    <n v="14026"/>
    <x v="0"/>
    <s v="Jan"/>
  </r>
  <r>
    <n v="38"/>
    <x v="0"/>
    <x v="1"/>
    <m/>
    <m/>
    <s v="Travel_Rarely"/>
    <n v="1009"/>
    <x v="0"/>
    <n v="2"/>
    <n v="2"/>
    <x v="0"/>
    <n v="1"/>
    <n v="1355"/>
    <m/>
    <n v="2"/>
    <x v="0"/>
    <x v="0"/>
    <x v="3"/>
    <n v="6893"/>
    <x v="1"/>
    <s v="Jan"/>
  </r>
  <r>
    <n v="34"/>
    <x v="2"/>
    <x v="1"/>
    <m/>
    <m/>
    <s v="Travel_Rarely"/>
    <n v="507"/>
    <x v="0"/>
    <n v="15"/>
    <n v="2"/>
    <x v="2"/>
    <n v="1"/>
    <n v="1356"/>
    <m/>
    <n v="3"/>
    <x v="0"/>
    <x v="0"/>
    <x v="3"/>
    <n v="6125"/>
    <x v="1"/>
    <s v="Jan"/>
  </r>
  <r>
    <n v="25"/>
    <x v="2"/>
    <x v="1"/>
    <m/>
    <m/>
    <s v="Travel_Rarely"/>
    <n v="882"/>
    <x v="1"/>
    <n v="19"/>
    <n v="1"/>
    <x v="2"/>
    <n v="1"/>
    <n v="1358"/>
    <m/>
    <n v="4"/>
    <x v="1"/>
    <x v="2"/>
    <x v="0"/>
    <n v="3669"/>
    <x v="1"/>
    <s v="Jan"/>
  </r>
  <r>
    <n v="58"/>
    <x v="3"/>
    <x v="0"/>
    <m/>
    <m/>
    <s v="Travel_Rarely"/>
    <n v="601"/>
    <x v="1"/>
    <n v="7"/>
    <n v="4"/>
    <x v="2"/>
    <n v="1"/>
    <n v="1360"/>
    <m/>
    <n v="3"/>
    <x v="2"/>
    <x v="3"/>
    <x v="3"/>
    <n v="10008"/>
    <x v="0"/>
    <s v="Jan"/>
  </r>
  <r>
    <n v="40"/>
    <x v="0"/>
    <x v="1"/>
    <m/>
    <m/>
    <s v="Travel_Rarely"/>
    <n v="329"/>
    <x v="1"/>
    <n v="1"/>
    <n v="4"/>
    <x v="0"/>
    <n v="1"/>
    <n v="1361"/>
    <m/>
    <n v="2"/>
    <x v="1"/>
    <x v="2"/>
    <x v="1"/>
    <n v="2387"/>
    <x v="1"/>
    <s v="Jan"/>
  </r>
  <r>
    <n v="36"/>
    <x v="0"/>
    <x v="1"/>
    <m/>
    <m/>
    <s v="Travel_Frequently"/>
    <n v="607"/>
    <x v="0"/>
    <n v="7"/>
    <n v="3"/>
    <x v="3"/>
    <n v="1"/>
    <n v="1362"/>
    <m/>
    <n v="1"/>
    <x v="0"/>
    <x v="0"/>
    <x v="3"/>
    <n v="4639"/>
    <x v="1"/>
    <s v="Jan"/>
  </r>
  <r>
    <n v="48"/>
    <x v="1"/>
    <x v="1"/>
    <m/>
    <m/>
    <s v="Travel_Rarely"/>
    <n v="855"/>
    <x v="1"/>
    <n v="4"/>
    <n v="3"/>
    <x v="0"/>
    <n v="1"/>
    <n v="1363"/>
    <m/>
    <n v="4"/>
    <x v="2"/>
    <x v="3"/>
    <x v="0"/>
    <n v="7898"/>
    <x v="1"/>
    <s v="Jan"/>
  </r>
  <r>
    <n v="27"/>
    <x v="2"/>
    <x v="1"/>
    <m/>
    <m/>
    <s v="Travel_Rarely"/>
    <n v="1291"/>
    <x v="0"/>
    <n v="11"/>
    <n v="3"/>
    <x v="2"/>
    <n v="1"/>
    <n v="1364"/>
    <m/>
    <n v="3"/>
    <x v="1"/>
    <x v="6"/>
    <x v="0"/>
    <n v="2534"/>
    <x v="1"/>
    <s v="Jan"/>
  </r>
  <r>
    <n v="51"/>
    <x v="1"/>
    <x v="1"/>
    <m/>
    <m/>
    <s v="Travel_Rarely"/>
    <n v="1405"/>
    <x v="1"/>
    <n v="11"/>
    <n v="2"/>
    <x v="4"/>
    <n v="1"/>
    <n v="1367"/>
    <m/>
    <n v="4"/>
    <x v="3"/>
    <x v="3"/>
    <x v="1"/>
    <n v="13142"/>
    <x v="1"/>
    <s v="Jan"/>
  </r>
  <r>
    <n v="18"/>
    <x v="4"/>
    <x v="1"/>
    <m/>
    <m/>
    <s v="Non-Travel"/>
    <n v="1124"/>
    <x v="1"/>
    <n v="1"/>
    <n v="3"/>
    <x v="0"/>
    <n v="1"/>
    <n v="1368"/>
    <m/>
    <n v="4"/>
    <x v="1"/>
    <x v="2"/>
    <x v="0"/>
    <n v="1611"/>
    <x v="1"/>
    <s v="Jan"/>
  </r>
  <r>
    <n v="35"/>
    <x v="0"/>
    <x v="1"/>
    <m/>
    <m/>
    <s v="Travel_Rarely"/>
    <n v="817"/>
    <x v="1"/>
    <n v="1"/>
    <n v="3"/>
    <x v="2"/>
    <n v="1"/>
    <n v="1369"/>
    <m/>
    <n v="4"/>
    <x v="0"/>
    <x v="2"/>
    <x v="0"/>
    <n v="5363"/>
    <x v="1"/>
    <s v="Jan"/>
  </r>
  <r>
    <n v="27"/>
    <x v="2"/>
    <x v="1"/>
    <m/>
    <m/>
    <s v="Travel_Frequently"/>
    <n v="793"/>
    <x v="0"/>
    <n v="2"/>
    <n v="1"/>
    <x v="0"/>
    <n v="1"/>
    <n v="1371"/>
    <m/>
    <n v="4"/>
    <x v="0"/>
    <x v="0"/>
    <x v="0"/>
    <n v="5071"/>
    <x v="1"/>
    <s v="Jan"/>
  </r>
  <r>
    <n v="55"/>
    <x v="3"/>
    <x v="0"/>
    <m/>
    <m/>
    <s v="Travel_Rarely"/>
    <n v="267"/>
    <x v="0"/>
    <n v="13"/>
    <n v="4"/>
    <x v="3"/>
    <n v="1"/>
    <n v="1372"/>
    <m/>
    <n v="1"/>
    <x v="3"/>
    <x v="0"/>
    <x v="2"/>
    <n v="13695"/>
    <x v="0"/>
    <s v="Jan"/>
  </r>
  <r>
    <n v="56"/>
    <x v="3"/>
    <x v="1"/>
    <m/>
    <m/>
    <s v="Travel_Rarely"/>
    <n v="1369"/>
    <x v="1"/>
    <n v="23"/>
    <n v="3"/>
    <x v="0"/>
    <n v="1"/>
    <n v="1373"/>
    <m/>
    <n v="4"/>
    <x v="3"/>
    <x v="3"/>
    <x v="1"/>
    <n v="13402"/>
    <x v="0"/>
    <s v="Jan"/>
  </r>
  <r>
    <n v="34"/>
    <x v="2"/>
    <x v="1"/>
    <m/>
    <m/>
    <s v="Non-Travel"/>
    <n v="999"/>
    <x v="1"/>
    <n v="26"/>
    <n v="1"/>
    <x v="4"/>
    <n v="1"/>
    <n v="1374"/>
    <m/>
    <n v="1"/>
    <x v="1"/>
    <x v="1"/>
    <x v="2"/>
    <n v="2029"/>
    <x v="1"/>
    <s v="Jan"/>
  </r>
  <r>
    <n v="40"/>
    <x v="0"/>
    <x v="1"/>
    <m/>
    <m/>
    <s v="Travel_Rarely"/>
    <n v="1202"/>
    <x v="1"/>
    <n v="2"/>
    <n v="1"/>
    <x v="2"/>
    <n v="1"/>
    <n v="1375"/>
    <m/>
    <n v="2"/>
    <x v="0"/>
    <x v="4"/>
    <x v="2"/>
    <n v="6377"/>
    <x v="1"/>
    <s v="Jan"/>
  </r>
  <r>
    <n v="34"/>
    <x v="2"/>
    <x v="1"/>
    <m/>
    <m/>
    <s v="Travel_Rarely"/>
    <n v="285"/>
    <x v="1"/>
    <n v="29"/>
    <n v="3"/>
    <x v="2"/>
    <n v="1"/>
    <n v="1377"/>
    <m/>
    <n v="2"/>
    <x v="0"/>
    <x v="2"/>
    <x v="2"/>
    <n v="5429"/>
    <x v="1"/>
    <s v="Jan"/>
  </r>
  <r>
    <n v="31"/>
    <x v="2"/>
    <x v="0"/>
    <m/>
    <m/>
    <s v="Travel_Frequently"/>
    <n v="703"/>
    <x v="0"/>
    <n v="2"/>
    <n v="3"/>
    <x v="0"/>
    <n v="1"/>
    <n v="1379"/>
    <m/>
    <n v="3"/>
    <x v="1"/>
    <x v="6"/>
    <x v="0"/>
    <n v="2785"/>
    <x v="1"/>
    <s v="Jan"/>
  </r>
  <r>
    <n v="35"/>
    <x v="0"/>
    <x v="0"/>
    <m/>
    <m/>
    <s v="Travel_Frequently"/>
    <n v="662"/>
    <x v="0"/>
    <n v="18"/>
    <n v="4"/>
    <x v="3"/>
    <n v="1"/>
    <n v="1380"/>
    <m/>
    <n v="4"/>
    <x v="0"/>
    <x v="0"/>
    <x v="2"/>
    <n v="4614"/>
    <x v="0"/>
    <s v="Jan"/>
  </r>
  <r>
    <n v="38"/>
    <x v="0"/>
    <x v="1"/>
    <m/>
    <m/>
    <s v="Travel_Frequently"/>
    <n v="693"/>
    <x v="1"/>
    <n v="7"/>
    <n v="3"/>
    <x v="0"/>
    <n v="1"/>
    <n v="1382"/>
    <m/>
    <n v="4"/>
    <x v="1"/>
    <x v="1"/>
    <x v="2"/>
    <n v="2610"/>
    <x v="1"/>
    <s v="Jan"/>
  </r>
  <r>
    <n v="34"/>
    <x v="2"/>
    <x v="1"/>
    <m/>
    <m/>
    <s v="Travel_Rarely"/>
    <n v="404"/>
    <x v="1"/>
    <n v="2"/>
    <n v="4"/>
    <x v="4"/>
    <n v="1"/>
    <n v="1383"/>
    <m/>
    <n v="3"/>
    <x v="0"/>
    <x v="4"/>
    <x v="0"/>
    <n v="6687"/>
    <x v="1"/>
    <s v="Jan"/>
  </r>
  <r>
    <n v="28"/>
    <x v="2"/>
    <x v="1"/>
    <m/>
    <m/>
    <s v="Travel_Rarely"/>
    <n v="736"/>
    <x v="0"/>
    <n v="26"/>
    <n v="3"/>
    <x v="0"/>
    <n v="1"/>
    <n v="1387"/>
    <m/>
    <n v="3"/>
    <x v="0"/>
    <x v="0"/>
    <x v="3"/>
    <n v="4724"/>
    <x v="1"/>
    <s v="Jan"/>
  </r>
  <r>
    <n v="31"/>
    <x v="2"/>
    <x v="0"/>
    <m/>
    <m/>
    <s v="Travel_Rarely"/>
    <n v="330"/>
    <x v="1"/>
    <n v="22"/>
    <n v="4"/>
    <x v="2"/>
    <n v="1"/>
    <n v="1389"/>
    <m/>
    <n v="4"/>
    <x v="0"/>
    <x v="3"/>
    <x v="2"/>
    <n v="6179"/>
    <x v="0"/>
    <s v="Jan"/>
  </r>
  <r>
    <n v="39"/>
    <x v="0"/>
    <x v="1"/>
    <m/>
    <m/>
    <s v="Travel_Rarely"/>
    <n v="1498"/>
    <x v="0"/>
    <n v="21"/>
    <n v="4"/>
    <x v="0"/>
    <n v="1"/>
    <n v="1390"/>
    <m/>
    <n v="1"/>
    <x v="0"/>
    <x v="0"/>
    <x v="0"/>
    <n v="6120"/>
    <x v="0"/>
    <s v="Jan"/>
  </r>
  <r>
    <n v="51"/>
    <x v="1"/>
    <x v="1"/>
    <m/>
    <m/>
    <s v="Travel_Frequently"/>
    <n v="541"/>
    <x v="0"/>
    <n v="2"/>
    <n v="3"/>
    <x v="3"/>
    <n v="1"/>
    <n v="1391"/>
    <m/>
    <n v="2"/>
    <x v="2"/>
    <x v="0"/>
    <x v="1"/>
    <n v="10596"/>
    <x v="1"/>
    <s v="Jan"/>
  </r>
  <r>
    <n v="41"/>
    <x v="0"/>
    <x v="1"/>
    <m/>
    <m/>
    <s v="Travel_Frequently"/>
    <n v="1200"/>
    <x v="1"/>
    <n v="22"/>
    <n v="3"/>
    <x v="0"/>
    <n v="1"/>
    <n v="1392"/>
    <m/>
    <n v="4"/>
    <x v="0"/>
    <x v="1"/>
    <x v="0"/>
    <n v="5467"/>
    <x v="0"/>
    <s v="Jan"/>
  </r>
  <r>
    <n v="37"/>
    <x v="0"/>
    <x v="1"/>
    <m/>
    <m/>
    <s v="Travel_Rarely"/>
    <n v="1439"/>
    <x v="1"/>
    <n v="4"/>
    <n v="1"/>
    <x v="0"/>
    <n v="1"/>
    <n v="1394"/>
    <m/>
    <n v="3"/>
    <x v="1"/>
    <x v="1"/>
    <x v="2"/>
    <n v="2996"/>
    <x v="0"/>
    <s v="Jan"/>
  </r>
  <r>
    <n v="33"/>
    <x v="2"/>
    <x v="1"/>
    <m/>
    <m/>
    <s v="Travel_Frequently"/>
    <n v="1111"/>
    <x v="0"/>
    <n v="5"/>
    <n v="1"/>
    <x v="0"/>
    <n v="1"/>
    <n v="1395"/>
    <m/>
    <n v="2"/>
    <x v="0"/>
    <x v="0"/>
    <x v="0"/>
    <n v="9998"/>
    <x v="1"/>
    <s v="Jan"/>
  </r>
  <r>
    <n v="32"/>
    <x v="2"/>
    <x v="1"/>
    <m/>
    <m/>
    <s v="Travel_Rarely"/>
    <n v="499"/>
    <x v="0"/>
    <n v="2"/>
    <n v="1"/>
    <x v="3"/>
    <n v="1"/>
    <n v="1396"/>
    <m/>
    <n v="3"/>
    <x v="0"/>
    <x v="0"/>
    <x v="1"/>
    <n v="4078"/>
    <x v="0"/>
    <s v="Jan"/>
  </r>
  <r>
    <n v="39"/>
    <x v="0"/>
    <x v="1"/>
    <m/>
    <m/>
    <s v="Non-Travel"/>
    <n v="1485"/>
    <x v="1"/>
    <n v="25"/>
    <n v="2"/>
    <x v="0"/>
    <n v="1"/>
    <n v="1397"/>
    <m/>
    <n v="3"/>
    <x v="2"/>
    <x v="4"/>
    <x v="2"/>
    <n v="10920"/>
    <x v="1"/>
    <s v="Jan"/>
  </r>
  <r>
    <n v="25"/>
    <x v="2"/>
    <x v="1"/>
    <m/>
    <m/>
    <s v="Travel_Rarely"/>
    <n v="1372"/>
    <x v="0"/>
    <n v="18"/>
    <n v="1"/>
    <x v="0"/>
    <n v="1"/>
    <n v="1399"/>
    <m/>
    <n v="1"/>
    <x v="0"/>
    <x v="0"/>
    <x v="2"/>
    <n v="6232"/>
    <x v="1"/>
    <s v="Jan"/>
  </r>
  <r>
    <n v="52"/>
    <x v="1"/>
    <x v="1"/>
    <m/>
    <m/>
    <s v="Travel_Frequently"/>
    <n v="322"/>
    <x v="1"/>
    <n v="28"/>
    <n v="2"/>
    <x v="2"/>
    <n v="1"/>
    <n v="1401"/>
    <m/>
    <n v="4"/>
    <x v="3"/>
    <x v="3"/>
    <x v="2"/>
    <n v="13247"/>
    <x v="0"/>
    <s v="Jan"/>
  </r>
  <r>
    <n v="43"/>
    <x v="0"/>
    <x v="1"/>
    <m/>
    <m/>
    <s v="Travel_Rarely"/>
    <n v="930"/>
    <x v="1"/>
    <n v="6"/>
    <n v="3"/>
    <x v="2"/>
    <n v="1"/>
    <n v="1402"/>
    <m/>
    <n v="1"/>
    <x v="0"/>
    <x v="1"/>
    <x v="2"/>
    <n v="4081"/>
    <x v="0"/>
    <s v="Jan"/>
  </r>
  <r>
    <n v="27"/>
    <x v="2"/>
    <x v="1"/>
    <m/>
    <m/>
    <s v="Travel_Rarely"/>
    <n v="205"/>
    <x v="0"/>
    <n v="10"/>
    <n v="3"/>
    <x v="3"/>
    <n v="1"/>
    <n v="1403"/>
    <m/>
    <n v="4"/>
    <x v="0"/>
    <x v="0"/>
    <x v="0"/>
    <n v="5769"/>
    <x v="0"/>
    <s v="Jan"/>
  </r>
  <r>
    <n v="27"/>
    <x v="2"/>
    <x v="0"/>
    <m/>
    <m/>
    <s v="Travel_Rarely"/>
    <n v="135"/>
    <x v="1"/>
    <n v="17"/>
    <n v="4"/>
    <x v="0"/>
    <n v="1"/>
    <n v="1405"/>
    <m/>
    <n v="4"/>
    <x v="1"/>
    <x v="1"/>
    <x v="2"/>
    <n v="2394"/>
    <x v="0"/>
    <s v="Jan"/>
  </r>
  <r>
    <n v="26"/>
    <x v="2"/>
    <x v="1"/>
    <m/>
    <m/>
    <s v="Travel_Rarely"/>
    <n v="683"/>
    <x v="1"/>
    <n v="2"/>
    <n v="1"/>
    <x v="2"/>
    <n v="1"/>
    <n v="1407"/>
    <m/>
    <n v="1"/>
    <x v="1"/>
    <x v="1"/>
    <x v="0"/>
    <n v="3904"/>
    <x v="1"/>
    <s v="Jan"/>
  </r>
  <r>
    <n v="42"/>
    <x v="0"/>
    <x v="1"/>
    <m/>
    <m/>
    <s v="Travel_Rarely"/>
    <n v="1147"/>
    <x v="2"/>
    <n v="10"/>
    <n v="3"/>
    <x v="5"/>
    <n v="1"/>
    <n v="1408"/>
    <m/>
    <n v="3"/>
    <x v="3"/>
    <x v="5"/>
    <x v="3"/>
    <n v="16799"/>
    <x v="1"/>
    <s v="Jan"/>
  </r>
  <r>
    <n v="52"/>
    <x v="1"/>
    <x v="1"/>
    <m/>
    <m/>
    <s v="Travel_Rarely"/>
    <n v="258"/>
    <x v="1"/>
    <n v="8"/>
    <n v="4"/>
    <x v="1"/>
    <n v="1"/>
    <n v="1409"/>
    <m/>
    <n v="3"/>
    <x v="1"/>
    <x v="2"/>
    <x v="3"/>
    <n v="2950"/>
    <x v="1"/>
    <s v="Jan"/>
  </r>
  <r>
    <n v="37"/>
    <x v="0"/>
    <x v="1"/>
    <m/>
    <m/>
    <s v="Travel_Rarely"/>
    <n v="1462"/>
    <x v="1"/>
    <n v="11"/>
    <n v="3"/>
    <x v="2"/>
    <n v="1"/>
    <n v="1411"/>
    <m/>
    <n v="1"/>
    <x v="1"/>
    <x v="2"/>
    <x v="2"/>
    <n v="3629"/>
    <x v="1"/>
    <s v="Jan"/>
  </r>
  <r>
    <n v="35"/>
    <x v="0"/>
    <x v="1"/>
    <m/>
    <m/>
    <s v="Travel_Frequently"/>
    <n v="200"/>
    <x v="1"/>
    <n v="18"/>
    <n v="2"/>
    <x v="0"/>
    <n v="1"/>
    <n v="1412"/>
    <m/>
    <n v="3"/>
    <x v="2"/>
    <x v="3"/>
    <x v="0"/>
    <n v="9362"/>
    <x v="1"/>
    <s v="Jan"/>
  </r>
  <r>
    <n v="25"/>
    <x v="2"/>
    <x v="1"/>
    <m/>
    <m/>
    <s v="Travel_Rarely"/>
    <n v="949"/>
    <x v="1"/>
    <n v="1"/>
    <n v="3"/>
    <x v="4"/>
    <n v="1"/>
    <n v="1415"/>
    <m/>
    <n v="1"/>
    <x v="1"/>
    <x v="2"/>
    <x v="0"/>
    <n v="3229"/>
    <x v="1"/>
    <s v="Jan"/>
  </r>
  <r>
    <n v="26"/>
    <x v="2"/>
    <x v="1"/>
    <m/>
    <m/>
    <s v="Travel_Rarely"/>
    <n v="652"/>
    <x v="1"/>
    <n v="7"/>
    <n v="3"/>
    <x v="1"/>
    <n v="1"/>
    <n v="1417"/>
    <m/>
    <n v="3"/>
    <x v="1"/>
    <x v="2"/>
    <x v="3"/>
    <n v="3578"/>
    <x v="1"/>
    <s v="Jan"/>
  </r>
  <r>
    <n v="29"/>
    <x v="2"/>
    <x v="1"/>
    <m/>
    <m/>
    <s v="Travel_Rarely"/>
    <n v="332"/>
    <x v="2"/>
    <n v="17"/>
    <n v="3"/>
    <x v="1"/>
    <n v="1"/>
    <n v="1419"/>
    <m/>
    <n v="2"/>
    <x v="2"/>
    <x v="8"/>
    <x v="3"/>
    <n v="7988"/>
    <x v="1"/>
    <s v="Jan"/>
  </r>
  <r>
    <n v="49"/>
    <x v="1"/>
    <x v="0"/>
    <m/>
    <m/>
    <s v="Travel_Frequently"/>
    <n v="1475"/>
    <x v="1"/>
    <n v="28"/>
    <n v="2"/>
    <x v="0"/>
    <n v="1"/>
    <n v="1420"/>
    <m/>
    <n v="1"/>
    <x v="0"/>
    <x v="2"/>
    <x v="3"/>
    <n v="4284"/>
    <x v="1"/>
    <s v="Jan"/>
  </r>
  <r>
    <n v="29"/>
    <x v="2"/>
    <x v="0"/>
    <m/>
    <m/>
    <s v="Travel_Frequently"/>
    <n v="337"/>
    <x v="1"/>
    <n v="14"/>
    <n v="1"/>
    <x v="1"/>
    <n v="1"/>
    <n v="1421"/>
    <m/>
    <n v="3"/>
    <x v="2"/>
    <x v="4"/>
    <x v="0"/>
    <n v="7553"/>
    <x v="0"/>
    <s v="Jan"/>
  </r>
  <r>
    <n v="54"/>
    <x v="1"/>
    <x v="1"/>
    <m/>
    <m/>
    <s v="Travel_Rarely"/>
    <n v="971"/>
    <x v="1"/>
    <n v="1"/>
    <n v="3"/>
    <x v="2"/>
    <n v="1"/>
    <n v="1422"/>
    <m/>
    <n v="4"/>
    <x v="3"/>
    <x v="7"/>
    <x v="0"/>
    <n v="17328"/>
    <x v="1"/>
    <s v="Jan"/>
  </r>
  <r>
    <n v="58"/>
    <x v="3"/>
    <x v="1"/>
    <m/>
    <m/>
    <s v="Travel_Rarely"/>
    <n v="1055"/>
    <x v="1"/>
    <n v="1"/>
    <n v="3"/>
    <x v="2"/>
    <n v="1"/>
    <n v="1423"/>
    <m/>
    <n v="4"/>
    <x v="4"/>
    <x v="7"/>
    <x v="3"/>
    <n v="19701"/>
    <x v="0"/>
    <s v="Jan"/>
  </r>
  <r>
    <n v="55"/>
    <x v="3"/>
    <x v="1"/>
    <m/>
    <m/>
    <s v="Travel_Rarely"/>
    <n v="1136"/>
    <x v="1"/>
    <n v="1"/>
    <n v="4"/>
    <x v="2"/>
    <n v="1"/>
    <n v="1424"/>
    <m/>
    <n v="2"/>
    <x v="3"/>
    <x v="7"/>
    <x v="0"/>
    <n v="14732"/>
    <x v="1"/>
    <s v="Jan"/>
  </r>
  <r>
    <n v="36"/>
    <x v="0"/>
    <x v="1"/>
    <m/>
    <m/>
    <s v="Travel_Rarely"/>
    <n v="1174"/>
    <x v="0"/>
    <n v="3"/>
    <n v="4"/>
    <x v="3"/>
    <n v="1"/>
    <n v="1425"/>
    <m/>
    <n v="1"/>
    <x v="0"/>
    <x v="0"/>
    <x v="1"/>
    <n v="9278"/>
    <x v="0"/>
    <s v="Jan"/>
  </r>
  <r>
    <n v="31"/>
    <x v="2"/>
    <x v="0"/>
    <m/>
    <m/>
    <s v="Travel_Frequently"/>
    <n v="667"/>
    <x v="0"/>
    <n v="1"/>
    <n v="4"/>
    <x v="0"/>
    <n v="1"/>
    <n v="1427"/>
    <m/>
    <n v="2"/>
    <x v="1"/>
    <x v="6"/>
    <x v="2"/>
    <n v="1359"/>
    <x v="1"/>
    <s v="Jan"/>
  </r>
  <r>
    <n v="30"/>
    <x v="2"/>
    <x v="1"/>
    <m/>
    <m/>
    <s v="Travel_Rarely"/>
    <n v="855"/>
    <x v="0"/>
    <n v="7"/>
    <n v="4"/>
    <x v="3"/>
    <n v="1"/>
    <n v="1428"/>
    <m/>
    <n v="4"/>
    <x v="0"/>
    <x v="0"/>
    <x v="3"/>
    <n v="4779"/>
    <x v="1"/>
    <s v="Jan"/>
  </r>
  <r>
    <n v="31"/>
    <x v="2"/>
    <x v="1"/>
    <m/>
    <m/>
    <s v="Travel_Rarely"/>
    <n v="182"/>
    <x v="1"/>
    <n v="8"/>
    <n v="5"/>
    <x v="0"/>
    <n v="1"/>
    <n v="1430"/>
    <m/>
    <n v="1"/>
    <x v="3"/>
    <x v="7"/>
    <x v="1"/>
    <n v="16422"/>
    <x v="1"/>
    <s v="Jan"/>
  </r>
  <r>
    <n v="34"/>
    <x v="2"/>
    <x v="1"/>
    <m/>
    <m/>
    <s v="Travel_Frequently"/>
    <n v="560"/>
    <x v="1"/>
    <n v="1"/>
    <n v="4"/>
    <x v="1"/>
    <n v="1"/>
    <n v="1431"/>
    <m/>
    <n v="4"/>
    <x v="1"/>
    <x v="1"/>
    <x v="3"/>
    <n v="2996"/>
    <x v="1"/>
    <s v="Jan"/>
  </r>
  <r>
    <n v="31"/>
    <x v="2"/>
    <x v="0"/>
    <m/>
    <m/>
    <s v="Travel_Rarely"/>
    <n v="202"/>
    <x v="1"/>
    <n v="8"/>
    <n v="3"/>
    <x v="0"/>
    <n v="1"/>
    <n v="1433"/>
    <m/>
    <n v="1"/>
    <x v="1"/>
    <x v="1"/>
    <x v="1"/>
    <n v="1261"/>
    <x v="1"/>
    <s v="Jan"/>
  </r>
  <r>
    <n v="27"/>
    <x v="2"/>
    <x v="1"/>
    <m/>
    <m/>
    <s v="Travel_Rarely"/>
    <n v="1377"/>
    <x v="1"/>
    <n v="11"/>
    <n v="1"/>
    <x v="0"/>
    <n v="1"/>
    <n v="1434"/>
    <m/>
    <n v="2"/>
    <x v="1"/>
    <x v="2"/>
    <x v="3"/>
    <n v="2099"/>
    <x v="1"/>
    <s v="Jan"/>
  </r>
  <r>
    <n v="36"/>
    <x v="0"/>
    <x v="1"/>
    <m/>
    <m/>
    <s v="Travel_Rarely"/>
    <n v="172"/>
    <x v="1"/>
    <n v="4"/>
    <n v="4"/>
    <x v="0"/>
    <n v="1"/>
    <n v="1435"/>
    <m/>
    <n v="1"/>
    <x v="0"/>
    <x v="2"/>
    <x v="0"/>
    <n v="5810"/>
    <x v="1"/>
    <s v="Jan"/>
  </r>
  <r>
    <n v="36"/>
    <x v="0"/>
    <x v="1"/>
    <m/>
    <m/>
    <s v="Travel_Rarely"/>
    <n v="329"/>
    <x v="0"/>
    <n v="16"/>
    <n v="4"/>
    <x v="3"/>
    <n v="1"/>
    <n v="1436"/>
    <m/>
    <n v="3"/>
    <x v="0"/>
    <x v="0"/>
    <x v="3"/>
    <n v="5647"/>
    <x v="1"/>
    <s v="Jan"/>
  </r>
  <r>
    <n v="47"/>
    <x v="1"/>
    <x v="1"/>
    <m/>
    <m/>
    <s v="Travel_Rarely"/>
    <n v="465"/>
    <x v="1"/>
    <n v="1"/>
    <n v="3"/>
    <x v="4"/>
    <n v="1"/>
    <n v="1438"/>
    <m/>
    <n v="1"/>
    <x v="1"/>
    <x v="1"/>
    <x v="0"/>
    <n v="3420"/>
    <x v="1"/>
    <s v="Jan"/>
  </r>
  <r>
    <n v="25"/>
    <x v="2"/>
    <x v="0"/>
    <m/>
    <m/>
    <s v="Travel_Rarely"/>
    <n v="383"/>
    <x v="0"/>
    <n v="9"/>
    <n v="2"/>
    <x v="0"/>
    <n v="1"/>
    <n v="1439"/>
    <m/>
    <n v="1"/>
    <x v="1"/>
    <x v="6"/>
    <x v="3"/>
    <n v="4400"/>
    <x v="1"/>
    <s v="Jan"/>
  </r>
  <r>
    <n v="37"/>
    <x v="0"/>
    <x v="1"/>
    <m/>
    <m/>
    <s v="Non-Travel"/>
    <n v="1413"/>
    <x v="1"/>
    <n v="5"/>
    <n v="2"/>
    <x v="4"/>
    <n v="1"/>
    <n v="1440"/>
    <m/>
    <n v="3"/>
    <x v="1"/>
    <x v="2"/>
    <x v="2"/>
    <n v="3500"/>
    <x v="1"/>
    <s v="Jan"/>
  </r>
  <r>
    <n v="56"/>
    <x v="3"/>
    <x v="1"/>
    <m/>
    <m/>
    <s v="Travel_Rarely"/>
    <n v="1255"/>
    <x v="1"/>
    <n v="1"/>
    <n v="2"/>
    <x v="0"/>
    <n v="1"/>
    <n v="1441"/>
    <m/>
    <n v="1"/>
    <x v="1"/>
    <x v="1"/>
    <x v="3"/>
    <n v="2066"/>
    <x v="1"/>
    <s v="Jan"/>
  </r>
  <r>
    <n v="47"/>
    <x v="1"/>
    <x v="1"/>
    <m/>
    <m/>
    <s v="Travel_Rarely"/>
    <n v="359"/>
    <x v="1"/>
    <n v="2"/>
    <n v="4"/>
    <x v="2"/>
    <n v="1"/>
    <n v="1443"/>
    <m/>
    <n v="1"/>
    <x v="3"/>
    <x v="7"/>
    <x v="2"/>
    <n v="17169"/>
    <x v="1"/>
    <s v="Jan"/>
  </r>
  <r>
    <n v="24"/>
    <x v="4"/>
    <x v="1"/>
    <m/>
    <m/>
    <s v="Travel_Rarely"/>
    <n v="1476"/>
    <x v="0"/>
    <n v="4"/>
    <n v="1"/>
    <x v="2"/>
    <n v="1"/>
    <n v="1445"/>
    <m/>
    <n v="4"/>
    <x v="0"/>
    <x v="0"/>
    <x v="2"/>
    <n v="4162"/>
    <x v="0"/>
    <s v="Jan"/>
  </r>
  <r>
    <n v="32"/>
    <x v="2"/>
    <x v="1"/>
    <m/>
    <m/>
    <s v="Travel_Rarely"/>
    <n v="601"/>
    <x v="0"/>
    <n v="7"/>
    <n v="5"/>
    <x v="3"/>
    <n v="1"/>
    <n v="1446"/>
    <m/>
    <n v="4"/>
    <x v="0"/>
    <x v="0"/>
    <x v="0"/>
    <n v="9204"/>
    <x v="1"/>
    <s v="Jan"/>
  </r>
  <r>
    <n v="34"/>
    <x v="2"/>
    <x v="1"/>
    <m/>
    <m/>
    <s v="Travel_Rarely"/>
    <n v="401"/>
    <x v="1"/>
    <n v="1"/>
    <n v="3"/>
    <x v="0"/>
    <n v="1"/>
    <n v="1447"/>
    <m/>
    <n v="4"/>
    <x v="1"/>
    <x v="2"/>
    <x v="1"/>
    <n v="3294"/>
    <x v="1"/>
    <s v="Jan"/>
  </r>
  <r>
    <n v="41"/>
    <x v="0"/>
    <x v="1"/>
    <m/>
    <m/>
    <s v="Travel_Rarely"/>
    <n v="1283"/>
    <x v="1"/>
    <n v="5"/>
    <n v="5"/>
    <x v="2"/>
    <n v="1"/>
    <n v="1448"/>
    <m/>
    <n v="2"/>
    <x v="1"/>
    <x v="1"/>
    <x v="2"/>
    <n v="2127"/>
    <x v="0"/>
    <s v="Jan"/>
  </r>
  <r>
    <n v="40"/>
    <x v="0"/>
    <x v="1"/>
    <m/>
    <m/>
    <s v="Non-Travel"/>
    <n v="663"/>
    <x v="1"/>
    <n v="9"/>
    <n v="4"/>
    <x v="1"/>
    <n v="1"/>
    <n v="1449"/>
    <m/>
    <n v="3"/>
    <x v="0"/>
    <x v="2"/>
    <x v="2"/>
    <n v="3975"/>
    <x v="1"/>
    <s v="Jan"/>
  </r>
  <r>
    <n v="31"/>
    <x v="2"/>
    <x v="1"/>
    <m/>
    <m/>
    <s v="Travel_Rarely"/>
    <n v="326"/>
    <x v="0"/>
    <n v="8"/>
    <n v="2"/>
    <x v="0"/>
    <n v="1"/>
    <n v="1453"/>
    <m/>
    <n v="1"/>
    <x v="2"/>
    <x v="0"/>
    <x v="0"/>
    <n v="10793"/>
    <x v="1"/>
    <s v="Jan"/>
  </r>
  <r>
    <n v="46"/>
    <x v="1"/>
    <x v="0"/>
    <m/>
    <m/>
    <s v="Travel_Rarely"/>
    <n v="377"/>
    <x v="0"/>
    <n v="9"/>
    <n v="3"/>
    <x v="3"/>
    <n v="1"/>
    <n v="1457"/>
    <m/>
    <n v="1"/>
    <x v="2"/>
    <x v="0"/>
    <x v="0"/>
    <n v="10096"/>
    <x v="1"/>
    <s v="Jan"/>
  </r>
  <r>
    <n v="39"/>
    <x v="0"/>
    <x v="0"/>
    <m/>
    <m/>
    <s v="Non-Travel"/>
    <n v="592"/>
    <x v="1"/>
    <n v="2"/>
    <n v="3"/>
    <x v="0"/>
    <n v="1"/>
    <n v="1458"/>
    <m/>
    <n v="1"/>
    <x v="1"/>
    <x v="2"/>
    <x v="3"/>
    <n v="3646"/>
    <x v="0"/>
    <s v="Jan"/>
  </r>
  <r>
    <n v="31"/>
    <x v="2"/>
    <x v="0"/>
    <m/>
    <m/>
    <s v="Travel_Frequently"/>
    <n v="1445"/>
    <x v="1"/>
    <n v="1"/>
    <n v="5"/>
    <x v="0"/>
    <n v="1"/>
    <n v="1459"/>
    <m/>
    <n v="3"/>
    <x v="2"/>
    <x v="3"/>
    <x v="1"/>
    <n v="7446"/>
    <x v="1"/>
    <s v="Jan"/>
  </r>
  <r>
    <n v="45"/>
    <x v="1"/>
    <x v="1"/>
    <m/>
    <m/>
    <s v="Travel_Rarely"/>
    <n v="1038"/>
    <x v="1"/>
    <n v="20"/>
    <n v="3"/>
    <x v="2"/>
    <n v="1"/>
    <n v="1460"/>
    <m/>
    <n v="2"/>
    <x v="2"/>
    <x v="4"/>
    <x v="3"/>
    <n v="10851"/>
    <x v="0"/>
    <s v="Jan"/>
  </r>
  <r>
    <n v="31"/>
    <x v="2"/>
    <x v="1"/>
    <m/>
    <m/>
    <s v="Travel_Rarely"/>
    <n v="1398"/>
    <x v="2"/>
    <n v="8"/>
    <n v="2"/>
    <x v="2"/>
    <n v="1"/>
    <n v="1461"/>
    <m/>
    <n v="4"/>
    <x v="1"/>
    <x v="8"/>
    <x v="1"/>
    <n v="2109"/>
    <x v="1"/>
    <s v="Jan"/>
  </r>
  <r>
    <n v="31"/>
    <x v="2"/>
    <x v="0"/>
    <m/>
    <m/>
    <s v="Travel_Frequently"/>
    <n v="523"/>
    <x v="1"/>
    <n v="2"/>
    <n v="3"/>
    <x v="0"/>
    <n v="1"/>
    <n v="1464"/>
    <m/>
    <n v="2"/>
    <x v="1"/>
    <x v="2"/>
    <x v="0"/>
    <n v="3722"/>
    <x v="0"/>
    <s v="Jan"/>
  </r>
  <r>
    <n v="45"/>
    <x v="1"/>
    <x v="1"/>
    <m/>
    <m/>
    <s v="Travel_Rarely"/>
    <n v="1448"/>
    <x v="1"/>
    <n v="29"/>
    <n v="3"/>
    <x v="4"/>
    <n v="1"/>
    <n v="1465"/>
    <m/>
    <n v="2"/>
    <x v="2"/>
    <x v="3"/>
    <x v="0"/>
    <n v="9380"/>
    <x v="0"/>
    <s v="Jan"/>
  </r>
  <r>
    <n v="48"/>
    <x v="1"/>
    <x v="1"/>
    <m/>
    <m/>
    <s v="Travel_Rarely"/>
    <n v="1221"/>
    <x v="0"/>
    <n v="7"/>
    <n v="3"/>
    <x v="3"/>
    <n v="1"/>
    <n v="1466"/>
    <m/>
    <n v="3"/>
    <x v="0"/>
    <x v="0"/>
    <x v="3"/>
    <n v="5486"/>
    <x v="1"/>
    <s v="Jan"/>
  </r>
  <r>
    <n v="34"/>
    <x v="2"/>
    <x v="0"/>
    <m/>
    <m/>
    <s v="Travel_Rarely"/>
    <n v="1107"/>
    <x v="2"/>
    <n v="9"/>
    <n v="4"/>
    <x v="4"/>
    <n v="1"/>
    <n v="1467"/>
    <m/>
    <n v="1"/>
    <x v="1"/>
    <x v="8"/>
    <x v="2"/>
    <n v="2742"/>
    <x v="1"/>
    <s v="Jan"/>
  </r>
  <r>
    <n v="40"/>
    <x v="0"/>
    <x v="1"/>
    <m/>
    <m/>
    <s v="Non-Travel"/>
    <n v="218"/>
    <x v="1"/>
    <n v="8"/>
    <n v="1"/>
    <x v="2"/>
    <n v="1"/>
    <n v="1468"/>
    <m/>
    <n v="4"/>
    <x v="2"/>
    <x v="7"/>
    <x v="1"/>
    <n v="13757"/>
    <x v="1"/>
    <s v="Jan"/>
  </r>
  <r>
    <n v="28"/>
    <x v="2"/>
    <x v="1"/>
    <m/>
    <m/>
    <s v="Travel_Rarely"/>
    <n v="866"/>
    <x v="0"/>
    <n v="5"/>
    <n v="3"/>
    <x v="2"/>
    <n v="1"/>
    <n v="1469"/>
    <m/>
    <n v="4"/>
    <x v="0"/>
    <x v="0"/>
    <x v="3"/>
    <n v="8463"/>
    <x v="1"/>
    <s v="Jan"/>
  </r>
  <r>
    <n v="44"/>
    <x v="0"/>
    <x v="1"/>
    <m/>
    <m/>
    <s v="Non-Travel"/>
    <n v="981"/>
    <x v="1"/>
    <n v="5"/>
    <n v="3"/>
    <x v="0"/>
    <n v="1"/>
    <n v="1471"/>
    <m/>
    <n v="3"/>
    <x v="1"/>
    <x v="2"/>
    <x v="2"/>
    <n v="3162"/>
    <x v="1"/>
    <s v="Jan"/>
  </r>
  <r>
    <n v="53"/>
    <x v="1"/>
    <x v="1"/>
    <m/>
    <m/>
    <s v="Travel_Rarely"/>
    <n v="447"/>
    <x v="1"/>
    <n v="2"/>
    <n v="3"/>
    <x v="2"/>
    <n v="1"/>
    <n v="1472"/>
    <m/>
    <n v="4"/>
    <x v="3"/>
    <x v="7"/>
    <x v="1"/>
    <n v="16598"/>
    <x v="1"/>
    <s v="Jan"/>
  </r>
  <r>
    <n v="49"/>
    <x v="1"/>
    <x v="1"/>
    <m/>
    <m/>
    <s v="Travel_Rarely"/>
    <n v="1495"/>
    <x v="1"/>
    <n v="5"/>
    <n v="4"/>
    <x v="4"/>
    <n v="1"/>
    <n v="1473"/>
    <m/>
    <n v="1"/>
    <x v="0"/>
    <x v="4"/>
    <x v="2"/>
    <n v="6651"/>
    <x v="1"/>
    <s v="Jan"/>
  </r>
  <r>
    <n v="40"/>
    <x v="0"/>
    <x v="1"/>
    <m/>
    <m/>
    <s v="Travel_Rarely"/>
    <n v="896"/>
    <x v="1"/>
    <n v="2"/>
    <n v="3"/>
    <x v="2"/>
    <n v="1"/>
    <n v="1474"/>
    <m/>
    <n v="3"/>
    <x v="1"/>
    <x v="1"/>
    <x v="2"/>
    <n v="2345"/>
    <x v="1"/>
    <s v="Jan"/>
  </r>
  <r>
    <n v="44"/>
    <x v="0"/>
    <x v="1"/>
    <m/>
    <m/>
    <s v="Travel_Rarely"/>
    <n v="1467"/>
    <x v="1"/>
    <n v="20"/>
    <n v="3"/>
    <x v="0"/>
    <n v="1"/>
    <n v="1475"/>
    <m/>
    <n v="4"/>
    <x v="1"/>
    <x v="1"/>
    <x v="1"/>
    <n v="3420"/>
    <x v="1"/>
    <s v="Jan"/>
  </r>
  <r>
    <n v="33"/>
    <x v="2"/>
    <x v="1"/>
    <m/>
    <m/>
    <s v="Travel_Frequently"/>
    <n v="430"/>
    <x v="0"/>
    <n v="7"/>
    <n v="3"/>
    <x v="2"/>
    <n v="1"/>
    <n v="1477"/>
    <m/>
    <n v="4"/>
    <x v="0"/>
    <x v="0"/>
    <x v="3"/>
    <n v="4373"/>
    <x v="1"/>
    <s v="Jan"/>
  </r>
  <r>
    <n v="34"/>
    <x v="2"/>
    <x v="1"/>
    <m/>
    <m/>
    <s v="Travel_Rarely"/>
    <n v="1326"/>
    <x v="0"/>
    <n v="3"/>
    <n v="3"/>
    <x v="1"/>
    <n v="1"/>
    <n v="1478"/>
    <m/>
    <n v="4"/>
    <x v="0"/>
    <x v="0"/>
    <x v="3"/>
    <n v="4759"/>
    <x v="1"/>
    <s v="Jan"/>
  </r>
  <r>
    <n v="30"/>
    <x v="2"/>
    <x v="1"/>
    <m/>
    <m/>
    <s v="Travel_Rarely"/>
    <n v="1358"/>
    <x v="0"/>
    <n v="16"/>
    <n v="1"/>
    <x v="0"/>
    <n v="1"/>
    <n v="1479"/>
    <m/>
    <n v="4"/>
    <x v="0"/>
    <x v="0"/>
    <x v="2"/>
    <n v="5301"/>
    <x v="1"/>
    <s v="Jan"/>
  </r>
  <r>
    <n v="42"/>
    <x v="0"/>
    <x v="1"/>
    <m/>
    <m/>
    <s v="Travel_Frequently"/>
    <n v="748"/>
    <x v="1"/>
    <n v="9"/>
    <n v="2"/>
    <x v="2"/>
    <n v="1"/>
    <n v="1480"/>
    <m/>
    <n v="1"/>
    <x v="1"/>
    <x v="2"/>
    <x v="0"/>
    <n v="3673"/>
    <x v="1"/>
    <s v="Jan"/>
  </r>
  <r>
    <n v="44"/>
    <x v="0"/>
    <x v="1"/>
    <m/>
    <m/>
    <s v="Travel_Frequently"/>
    <n v="383"/>
    <x v="0"/>
    <n v="1"/>
    <n v="5"/>
    <x v="3"/>
    <n v="1"/>
    <n v="1481"/>
    <m/>
    <n v="1"/>
    <x v="0"/>
    <x v="0"/>
    <x v="2"/>
    <n v="4768"/>
    <x v="1"/>
    <s v="Jan"/>
  </r>
  <r>
    <n v="30"/>
    <x v="2"/>
    <x v="1"/>
    <m/>
    <m/>
    <s v="Non-Travel"/>
    <n v="990"/>
    <x v="1"/>
    <n v="7"/>
    <n v="3"/>
    <x v="4"/>
    <n v="1"/>
    <n v="1482"/>
    <m/>
    <n v="3"/>
    <x v="1"/>
    <x v="1"/>
    <x v="2"/>
    <n v="1274"/>
    <x v="1"/>
    <s v="Jan"/>
  </r>
  <r>
    <n v="57"/>
    <x v="3"/>
    <x v="1"/>
    <m/>
    <m/>
    <s v="Travel_Rarely"/>
    <n v="405"/>
    <x v="1"/>
    <n v="1"/>
    <n v="2"/>
    <x v="0"/>
    <n v="1"/>
    <n v="1483"/>
    <m/>
    <n v="2"/>
    <x v="0"/>
    <x v="1"/>
    <x v="2"/>
    <n v="4900"/>
    <x v="1"/>
    <s v="Jan"/>
  </r>
  <r>
    <n v="49"/>
    <x v="1"/>
    <x v="1"/>
    <m/>
    <m/>
    <s v="Travel_Rarely"/>
    <n v="1490"/>
    <x v="1"/>
    <n v="7"/>
    <n v="4"/>
    <x v="0"/>
    <n v="1"/>
    <n v="1484"/>
    <m/>
    <n v="3"/>
    <x v="2"/>
    <x v="4"/>
    <x v="1"/>
    <n v="10466"/>
    <x v="1"/>
    <s v="Jan"/>
  </r>
  <r>
    <n v="34"/>
    <x v="2"/>
    <x v="1"/>
    <m/>
    <m/>
    <s v="Travel_Frequently"/>
    <n v="829"/>
    <x v="1"/>
    <n v="15"/>
    <n v="3"/>
    <x v="2"/>
    <n v="1"/>
    <n v="1485"/>
    <m/>
    <n v="2"/>
    <x v="3"/>
    <x v="7"/>
    <x v="3"/>
    <n v="17007"/>
    <x v="1"/>
    <s v="Jan"/>
  </r>
  <r>
    <n v="28"/>
    <x v="2"/>
    <x v="0"/>
    <m/>
    <m/>
    <s v="Travel_Frequently"/>
    <n v="1496"/>
    <x v="0"/>
    <n v="1"/>
    <n v="3"/>
    <x v="4"/>
    <n v="1"/>
    <n v="1486"/>
    <m/>
    <n v="1"/>
    <x v="1"/>
    <x v="6"/>
    <x v="2"/>
    <n v="2909"/>
    <x v="1"/>
    <s v="Jan"/>
  </r>
  <r>
    <n v="29"/>
    <x v="2"/>
    <x v="0"/>
    <m/>
    <m/>
    <s v="Travel_Frequently"/>
    <n v="115"/>
    <x v="0"/>
    <n v="13"/>
    <n v="3"/>
    <x v="4"/>
    <n v="1"/>
    <n v="1487"/>
    <m/>
    <n v="1"/>
    <x v="0"/>
    <x v="0"/>
    <x v="1"/>
    <n v="5765"/>
    <x v="1"/>
    <s v="Jan"/>
  </r>
  <r>
    <n v="34"/>
    <x v="2"/>
    <x v="0"/>
    <m/>
    <m/>
    <s v="Travel_Rarely"/>
    <n v="790"/>
    <x v="0"/>
    <n v="24"/>
    <n v="4"/>
    <x v="2"/>
    <n v="1"/>
    <n v="1489"/>
    <m/>
    <n v="1"/>
    <x v="0"/>
    <x v="0"/>
    <x v="1"/>
    <n v="4599"/>
    <x v="0"/>
    <s v="Jan"/>
  </r>
  <r>
    <n v="35"/>
    <x v="0"/>
    <x v="1"/>
    <m/>
    <m/>
    <s v="Travel_Rarely"/>
    <n v="660"/>
    <x v="0"/>
    <n v="7"/>
    <n v="1"/>
    <x v="0"/>
    <n v="1"/>
    <n v="1492"/>
    <m/>
    <n v="4"/>
    <x v="1"/>
    <x v="6"/>
    <x v="2"/>
    <n v="2404"/>
    <x v="1"/>
    <s v="Jan"/>
  </r>
  <r>
    <n v="24"/>
    <x v="4"/>
    <x v="0"/>
    <m/>
    <m/>
    <s v="Travel_Frequently"/>
    <n v="381"/>
    <x v="1"/>
    <n v="9"/>
    <n v="3"/>
    <x v="2"/>
    <n v="1"/>
    <n v="1494"/>
    <m/>
    <n v="2"/>
    <x v="1"/>
    <x v="2"/>
    <x v="3"/>
    <n v="3172"/>
    <x v="0"/>
    <s v="Jan"/>
  </r>
  <r>
    <n v="24"/>
    <x v="4"/>
    <x v="1"/>
    <m/>
    <m/>
    <s v="Non-Travel"/>
    <n v="830"/>
    <x v="0"/>
    <n v="13"/>
    <n v="2"/>
    <x v="0"/>
    <n v="1"/>
    <n v="1495"/>
    <m/>
    <n v="4"/>
    <x v="1"/>
    <x v="6"/>
    <x v="1"/>
    <n v="2033"/>
    <x v="1"/>
    <s v="Jan"/>
  </r>
  <r>
    <n v="44"/>
    <x v="0"/>
    <x v="1"/>
    <m/>
    <m/>
    <s v="Travel_Frequently"/>
    <n v="1193"/>
    <x v="1"/>
    <n v="2"/>
    <n v="1"/>
    <x v="2"/>
    <n v="1"/>
    <n v="1496"/>
    <m/>
    <n v="2"/>
    <x v="2"/>
    <x v="3"/>
    <x v="2"/>
    <n v="10209"/>
    <x v="0"/>
    <s v="Jan"/>
  </r>
  <r>
    <n v="29"/>
    <x v="2"/>
    <x v="1"/>
    <m/>
    <m/>
    <s v="Travel_Rarely"/>
    <n v="1246"/>
    <x v="0"/>
    <n v="19"/>
    <n v="3"/>
    <x v="0"/>
    <n v="1"/>
    <n v="1497"/>
    <m/>
    <n v="3"/>
    <x v="0"/>
    <x v="0"/>
    <x v="2"/>
    <n v="8620"/>
    <x v="1"/>
    <s v="Jan"/>
  </r>
  <r>
    <n v="30"/>
    <x v="2"/>
    <x v="1"/>
    <m/>
    <m/>
    <s v="Travel_Rarely"/>
    <n v="330"/>
    <x v="2"/>
    <n v="1"/>
    <n v="3"/>
    <x v="0"/>
    <n v="1"/>
    <n v="1499"/>
    <m/>
    <n v="3"/>
    <x v="1"/>
    <x v="8"/>
    <x v="2"/>
    <n v="2064"/>
    <x v="1"/>
    <s v="Jan"/>
  </r>
  <r>
    <n v="55"/>
    <x v="3"/>
    <x v="1"/>
    <m/>
    <m/>
    <s v="Travel_Rarely"/>
    <n v="1229"/>
    <x v="1"/>
    <n v="4"/>
    <n v="4"/>
    <x v="0"/>
    <n v="1"/>
    <n v="1501"/>
    <m/>
    <n v="4"/>
    <x v="0"/>
    <x v="4"/>
    <x v="2"/>
    <n v="4035"/>
    <x v="0"/>
    <s v="Jan"/>
  </r>
  <r>
    <n v="33"/>
    <x v="2"/>
    <x v="1"/>
    <m/>
    <m/>
    <s v="Travel_Rarely"/>
    <n v="1099"/>
    <x v="1"/>
    <n v="4"/>
    <n v="4"/>
    <x v="2"/>
    <n v="1"/>
    <n v="1502"/>
    <m/>
    <n v="1"/>
    <x v="1"/>
    <x v="2"/>
    <x v="1"/>
    <n v="3838"/>
    <x v="1"/>
    <s v="Jan"/>
  </r>
  <r>
    <n v="47"/>
    <x v="1"/>
    <x v="1"/>
    <m/>
    <m/>
    <s v="Travel_Rarely"/>
    <n v="571"/>
    <x v="0"/>
    <n v="14"/>
    <n v="3"/>
    <x v="2"/>
    <n v="1"/>
    <n v="1503"/>
    <m/>
    <n v="3"/>
    <x v="0"/>
    <x v="0"/>
    <x v="2"/>
    <n v="4591"/>
    <x v="0"/>
    <s v="Jan"/>
  </r>
  <r>
    <n v="28"/>
    <x v="2"/>
    <x v="0"/>
    <m/>
    <m/>
    <s v="Travel_Frequently"/>
    <n v="289"/>
    <x v="1"/>
    <n v="2"/>
    <n v="2"/>
    <x v="2"/>
    <n v="1"/>
    <n v="1504"/>
    <m/>
    <n v="3"/>
    <x v="1"/>
    <x v="2"/>
    <x v="3"/>
    <n v="2561"/>
    <x v="1"/>
    <s v="Jan"/>
  </r>
  <r>
    <n v="28"/>
    <x v="2"/>
    <x v="1"/>
    <m/>
    <m/>
    <s v="Travel_Rarely"/>
    <n v="1423"/>
    <x v="1"/>
    <n v="1"/>
    <n v="3"/>
    <x v="0"/>
    <n v="1"/>
    <n v="1506"/>
    <m/>
    <n v="1"/>
    <x v="1"/>
    <x v="1"/>
    <x v="2"/>
    <n v="1563"/>
    <x v="1"/>
    <s v="Jan"/>
  </r>
  <r>
    <n v="28"/>
    <x v="2"/>
    <x v="1"/>
    <m/>
    <m/>
    <s v="Travel_Frequently"/>
    <n v="467"/>
    <x v="0"/>
    <n v="7"/>
    <n v="3"/>
    <x v="0"/>
    <n v="1"/>
    <n v="1507"/>
    <m/>
    <n v="3"/>
    <x v="0"/>
    <x v="0"/>
    <x v="3"/>
    <n v="4898"/>
    <x v="1"/>
    <s v="Jan"/>
  </r>
  <r>
    <n v="49"/>
    <x v="1"/>
    <x v="1"/>
    <m/>
    <m/>
    <s v="Travel_Rarely"/>
    <n v="271"/>
    <x v="1"/>
    <n v="3"/>
    <n v="2"/>
    <x v="2"/>
    <n v="1"/>
    <n v="1509"/>
    <m/>
    <n v="3"/>
    <x v="0"/>
    <x v="2"/>
    <x v="3"/>
    <n v="4789"/>
    <x v="1"/>
    <s v="Jan"/>
  </r>
  <r>
    <n v="29"/>
    <x v="2"/>
    <x v="1"/>
    <m/>
    <m/>
    <s v="Travel_Frequently"/>
    <n v="410"/>
    <x v="1"/>
    <n v="2"/>
    <n v="1"/>
    <x v="0"/>
    <n v="1"/>
    <n v="1513"/>
    <m/>
    <n v="4"/>
    <x v="1"/>
    <x v="2"/>
    <x v="1"/>
    <n v="3180"/>
    <x v="1"/>
    <s v="Jan"/>
  </r>
  <r>
    <n v="28"/>
    <x v="2"/>
    <x v="1"/>
    <m/>
    <m/>
    <s v="Travel_Rarely"/>
    <n v="1083"/>
    <x v="1"/>
    <n v="29"/>
    <n v="1"/>
    <x v="0"/>
    <n v="1"/>
    <n v="1514"/>
    <m/>
    <n v="3"/>
    <x v="0"/>
    <x v="3"/>
    <x v="1"/>
    <n v="6549"/>
    <x v="1"/>
    <s v="Jan"/>
  </r>
  <r>
    <n v="33"/>
    <x v="2"/>
    <x v="1"/>
    <m/>
    <m/>
    <s v="Travel_Rarely"/>
    <n v="516"/>
    <x v="1"/>
    <n v="8"/>
    <n v="5"/>
    <x v="0"/>
    <n v="1"/>
    <n v="1515"/>
    <m/>
    <n v="4"/>
    <x v="0"/>
    <x v="4"/>
    <x v="2"/>
    <n v="6388"/>
    <x v="0"/>
    <s v="Jan"/>
  </r>
  <r>
    <n v="32"/>
    <x v="2"/>
    <x v="1"/>
    <m/>
    <m/>
    <s v="Travel_Rarely"/>
    <n v="495"/>
    <x v="1"/>
    <n v="10"/>
    <n v="3"/>
    <x v="2"/>
    <n v="1"/>
    <n v="1516"/>
    <m/>
    <n v="3"/>
    <x v="2"/>
    <x v="5"/>
    <x v="0"/>
    <n v="11244"/>
    <x v="1"/>
    <s v="Jan"/>
  </r>
  <r>
    <n v="54"/>
    <x v="1"/>
    <x v="1"/>
    <m/>
    <m/>
    <s v="Travel_Frequently"/>
    <n v="1050"/>
    <x v="1"/>
    <n v="11"/>
    <n v="4"/>
    <x v="2"/>
    <n v="1"/>
    <n v="1520"/>
    <m/>
    <n v="2"/>
    <x v="3"/>
    <x v="5"/>
    <x v="0"/>
    <n v="16032"/>
    <x v="1"/>
    <s v="Jan"/>
  </r>
  <r>
    <n v="29"/>
    <x v="2"/>
    <x v="0"/>
    <m/>
    <m/>
    <s v="Travel_Rarely"/>
    <n v="224"/>
    <x v="1"/>
    <n v="1"/>
    <n v="4"/>
    <x v="4"/>
    <n v="1"/>
    <n v="1522"/>
    <m/>
    <n v="1"/>
    <x v="1"/>
    <x v="1"/>
    <x v="3"/>
    <n v="2362"/>
    <x v="1"/>
    <s v="Jan"/>
  </r>
  <r>
    <n v="44"/>
    <x v="0"/>
    <x v="1"/>
    <m/>
    <m/>
    <s v="Travel_Rarely"/>
    <n v="136"/>
    <x v="1"/>
    <n v="28"/>
    <n v="3"/>
    <x v="0"/>
    <n v="1"/>
    <n v="1523"/>
    <m/>
    <n v="4"/>
    <x v="3"/>
    <x v="7"/>
    <x v="3"/>
    <n v="16328"/>
    <x v="1"/>
    <s v="Jan"/>
  </r>
  <r>
    <n v="39"/>
    <x v="0"/>
    <x v="1"/>
    <m/>
    <m/>
    <s v="Travel_Rarely"/>
    <n v="1089"/>
    <x v="1"/>
    <n v="6"/>
    <n v="3"/>
    <x v="0"/>
    <n v="1"/>
    <n v="1525"/>
    <m/>
    <n v="2"/>
    <x v="2"/>
    <x v="3"/>
    <x v="1"/>
    <n v="8376"/>
    <x v="1"/>
    <s v="Jan"/>
  </r>
  <r>
    <n v="46"/>
    <x v="1"/>
    <x v="1"/>
    <m/>
    <m/>
    <s v="Travel_Rarely"/>
    <n v="228"/>
    <x v="0"/>
    <n v="3"/>
    <n v="3"/>
    <x v="0"/>
    <n v="1"/>
    <n v="1527"/>
    <m/>
    <n v="3"/>
    <x v="3"/>
    <x v="5"/>
    <x v="1"/>
    <n v="16606"/>
    <x v="1"/>
    <s v="Jan"/>
  </r>
  <r>
    <n v="35"/>
    <x v="0"/>
    <x v="1"/>
    <m/>
    <m/>
    <s v="Travel_Rarely"/>
    <n v="1029"/>
    <x v="1"/>
    <n v="16"/>
    <n v="3"/>
    <x v="0"/>
    <n v="1"/>
    <n v="1529"/>
    <m/>
    <n v="4"/>
    <x v="2"/>
    <x v="4"/>
    <x v="1"/>
    <n v="8606"/>
    <x v="1"/>
    <s v="Jan"/>
  </r>
  <r>
    <n v="23"/>
    <x v="4"/>
    <x v="1"/>
    <m/>
    <m/>
    <s v="Travel_Rarely"/>
    <n v="507"/>
    <x v="1"/>
    <n v="20"/>
    <n v="1"/>
    <x v="0"/>
    <n v="1"/>
    <n v="1533"/>
    <m/>
    <n v="1"/>
    <x v="0"/>
    <x v="2"/>
    <x v="2"/>
    <n v="2272"/>
    <x v="1"/>
    <s v="Jan"/>
  </r>
  <r>
    <n v="40"/>
    <x v="0"/>
    <x v="0"/>
    <m/>
    <m/>
    <s v="Travel_Rarely"/>
    <n v="676"/>
    <x v="1"/>
    <n v="9"/>
    <n v="4"/>
    <x v="0"/>
    <n v="1"/>
    <n v="1534"/>
    <m/>
    <n v="4"/>
    <x v="1"/>
    <x v="2"/>
    <x v="3"/>
    <n v="2018"/>
    <x v="1"/>
    <s v="Jan"/>
  </r>
  <r>
    <n v="34"/>
    <x v="2"/>
    <x v="1"/>
    <m/>
    <m/>
    <s v="Travel_Rarely"/>
    <n v="971"/>
    <x v="0"/>
    <n v="1"/>
    <n v="3"/>
    <x v="4"/>
    <n v="1"/>
    <n v="1535"/>
    <m/>
    <n v="4"/>
    <x v="2"/>
    <x v="0"/>
    <x v="2"/>
    <n v="7083"/>
    <x v="0"/>
    <s v="Jan"/>
  </r>
  <r>
    <n v="31"/>
    <x v="2"/>
    <x v="0"/>
    <m/>
    <m/>
    <s v="Travel_Frequently"/>
    <n v="561"/>
    <x v="1"/>
    <n v="3"/>
    <n v="3"/>
    <x v="0"/>
    <n v="1"/>
    <n v="1537"/>
    <m/>
    <n v="4"/>
    <x v="1"/>
    <x v="1"/>
    <x v="2"/>
    <n v="4084"/>
    <x v="1"/>
    <s v="Jan"/>
  </r>
  <r>
    <n v="50"/>
    <x v="1"/>
    <x v="1"/>
    <m/>
    <m/>
    <s v="Travel_Frequently"/>
    <n v="333"/>
    <x v="1"/>
    <n v="22"/>
    <n v="5"/>
    <x v="2"/>
    <n v="1"/>
    <n v="1539"/>
    <m/>
    <n v="3"/>
    <x v="3"/>
    <x v="7"/>
    <x v="0"/>
    <n v="14411"/>
    <x v="0"/>
    <s v="Jan"/>
  </r>
  <r>
    <n v="34"/>
    <x v="2"/>
    <x v="1"/>
    <m/>
    <m/>
    <s v="Travel_Rarely"/>
    <n v="1440"/>
    <x v="0"/>
    <n v="7"/>
    <n v="2"/>
    <x v="4"/>
    <n v="1"/>
    <n v="1541"/>
    <m/>
    <n v="2"/>
    <x v="1"/>
    <x v="6"/>
    <x v="2"/>
    <n v="2308"/>
    <x v="0"/>
    <s v="Jan"/>
  </r>
  <r>
    <n v="42"/>
    <x v="0"/>
    <x v="1"/>
    <m/>
    <m/>
    <s v="Travel_Rarely"/>
    <n v="1210"/>
    <x v="1"/>
    <n v="2"/>
    <n v="3"/>
    <x v="2"/>
    <n v="1"/>
    <n v="1542"/>
    <m/>
    <n v="3"/>
    <x v="1"/>
    <x v="2"/>
    <x v="1"/>
    <n v="4841"/>
    <x v="1"/>
    <s v="Jan"/>
  </r>
  <r>
    <n v="37"/>
    <x v="0"/>
    <x v="1"/>
    <m/>
    <m/>
    <s v="Travel_Rarely"/>
    <n v="674"/>
    <x v="1"/>
    <n v="13"/>
    <n v="3"/>
    <x v="2"/>
    <n v="1"/>
    <n v="1543"/>
    <m/>
    <n v="1"/>
    <x v="0"/>
    <x v="1"/>
    <x v="0"/>
    <n v="4285"/>
    <x v="1"/>
    <s v="Jan"/>
  </r>
  <r>
    <n v="29"/>
    <x v="2"/>
    <x v="1"/>
    <m/>
    <m/>
    <s v="Travel_Rarely"/>
    <n v="441"/>
    <x v="1"/>
    <n v="8"/>
    <n v="1"/>
    <x v="1"/>
    <n v="1"/>
    <n v="1544"/>
    <m/>
    <n v="3"/>
    <x v="0"/>
    <x v="4"/>
    <x v="3"/>
    <n v="9715"/>
    <x v="1"/>
    <s v="Jan"/>
  </r>
  <r>
    <n v="33"/>
    <x v="2"/>
    <x v="1"/>
    <m/>
    <m/>
    <s v="Travel_Rarely"/>
    <n v="575"/>
    <x v="1"/>
    <n v="25"/>
    <n v="3"/>
    <x v="0"/>
    <n v="1"/>
    <n v="1545"/>
    <m/>
    <n v="4"/>
    <x v="0"/>
    <x v="3"/>
    <x v="1"/>
    <n v="4320"/>
    <x v="1"/>
    <s v="Jan"/>
  </r>
  <r>
    <n v="45"/>
    <x v="1"/>
    <x v="1"/>
    <m/>
    <m/>
    <s v="Travel_Rarely"/>
    <n v="950"/>
    <x v="1"/>
    <n v="28"/>
    <n v="3"/>
    <x v="4"/>
    <n v="1"/>
    <n v="1546"/>
    <m/>
    <n v="4"/>
    <x v="1"/>
    <x v="1"/>
    <x v="0"/>
    <n v="2132"/>
    <x v="1"/>
    <s v="Jan"/>
  </r>
  <r>
    <n v="42"/>
    <x v="0"/>
    <x v="1"/>
    <m/>
    <m/>
    <s v="Travel_Frequently"/>
    <n v="288"/>
    <x v="1"/>
    <n v="2"/>
    <n v="3"/>
    <x v="0"/>
    <n v="1"/>
    <n v="1547"/>
    <m/>
    <n v="4"/>
    <x v="2"/>
    <x v="4"/>
    <x v="0"/>
    <n v="10124"/>
    <x v="0"/>
    <s v="Jan"/>
  </r>
  <r>
    <n v="40"/>
    <x v="0"/>
    <x v="1"/>
    <m/>
    <m/>
    <s v="Travel_Rarely"/>
    <n v="1342"/>
    <x v="0"/>
    <n v="9"/>
    <n v="2"/>
    <x v="2"/>
    <n v="1"/>
    <n v="1548"/>
    <m/>
    <n v="1"/>
    <x v="0"/>
    <x v="0"/>
    <x v="3"/>
    <n v="5473"/>
    <x v="1"/>
    <s v="Jan"/>
  </r>
  <r>
    <n v="33"/>
    <x v="2"/>
    <x v="1"/>
    <m/>
    <m/>
    <s v="Travel_Rarely"/>
    <n v="589"/>
    <x v="1"/>
    <n v="28"/>
    <n v="4"/>
    <x v="0"/>
    <n v="1"/>
    <n v="1549"/>
    <m/>
    <n v="2"/>
    <x v="0"/>
    <x v="2"/>
    <x v="2"/>
    <n v="5207"/>
    <x v="0"/>
    <s v="Jan"/>
  </r>
  <r>
    <n v="40"/>
    <x v="0"/>
    <x v="1"/>
    <m/>
    <m/>
    <s v="Travel_Rarely"/>
    <n v="898"/>
    <x v="2"/>
    <n v="6"/>
    <n v="2"/>
    <x v="2"/>
    <n v="1"/>
    <n v="1550"/>
    <m/>
    <n v="3"/>
    <x v="3"/>
    <x v="5"/>
    <x v="0"/>
    <n v="16437"/>
    <x v="0"/>
    <s v="Jan"/>
  </r>
  <r>
    <n v="24"/>
    <x v="4"/>
    <x v="1"/>
    <m/>
    <m/>
    <s v="Travel_Rarely"/>
    <n v="350"/>
    <x v="1"/>
    <n v="21"/>
    <n v="2"/>
    <x v="4"/>
    <n v="1"/>
    <n v="1551"/>
    <m/>
    <n v="3"/>
    <x v="1"/>
    <x v="2"/>
    <x v="3"/>
    <n v="2296"/>
    <x v="1"/>
    <s v="Jan"/>
  </r>
  <r>
    <n v="40"/>
    <x v="0"/>
    <x v="1"/>
    <m/>
    <m/>
    <s v="Non-Travel"/>
    <n v="1142"/>
    <x v="1"/>
    <n v="8"/>
    <n v="2"/>
    <x v="0"/>
    <n v="1"/>
    <n v="1552"/>
    <m/>
    <n v="4"/>
    <x v="0"/>
    <x v="4"/>
    <x v="0"/>
    <n v="4069"/>
    <x v="0"/>
    <s v="Jan"/>
  </r>
  <r>
    <n v="45"/>
    <x v="1"/>
    <x v="1"/>
    <m/>
    <m/>
    <s v="Travel_Rarely"/>
    <n v="538"/>
    <x v="1"/>
    <n v="1"/>
    <n v="4"/>
    <x v="4"/>
    <n v="1"/>
    <n v="1553"/>
    <m/>
    <n v="1"/>
    <x v="2"/>
    <x v="4"/>
    <x v="1"/>
    <n v="7441"/>
    <x v="1"/>
    <s v="Jan"/>
  </r>
  <r>
    <n v="35"/>
    <x v="0"/>
    <x v="1"/>
    <m/>
    <m/>
    <s v="Travel_Rarely"/>
    <n v="1402"/>
    <x v="0"/>
    <n v="28"/>
    <n v="4"/>
    <x v="0"/>
    <n v="1"/>
    <n v="1554"/>
    <m/>
    <n v="2"/>
    <x v="1"/>
    <x v="6"/>
    <x v="2"/>
    <n v="2430"/>
    <x v="1"/>
    <s v="Jan"/>
  </r>
  <r>
    <n v="32"/>
    <x v="2"/>
    <x v="1"/>
    <m/>
    <m/>
    <s v="Travel_Rarely"/>
    <n v="824"/>
    <x v="1"/>
    <n v="5"/>
    <n v="2"/>
    <x v="0"/>
    <n v="1"/>
    <n v="1555"/>
    <m/>
    <n v="4"/>
    <x v="0"/>
    <x v="1"/>
    <x v="1"/>
    <n v="5878"/>
    <x v="1"/>
    <s v="Jan"/>
  </r>
  <r>
    <n v="36"/>
    <x v="0"/>
    <x v="1"/>
    <m/>
    <m/>
    <s v="Travel_Rarely"/>
    <n v="1157"/>
    <x v="0"/>
    <n v="2"/>
    <n v="4"/>
    <x v="0"/>
    <n v="1"/>
    <n v="1556"/>
    <m/>
    <n v="3"/>
    <x v="1"/>
    <x v="6"/>
    <x v="0"/>
    <n v="2644"/>
    <x v="0"/>
    <s v="Jan"/>
  </r>
  <r>
    <n v="48"/>
    <x v="1"/>
    <x v="1"/>
    <m/>
    <m/>
    <s v="Travel_Rarely"/>
    <n v="492"/>
    <x v="0"/>
    <n v="16"/>
    <n v="4"/>
    <x v="0"/>
    <n v="1"/>
    <n v="1557"/>
    <m/>
    <n v="3"/>
    <x v="0"/>
    <x v="0"/>
    <x v="2"/>
    <n v="6439"/>
    <x v="1"/>
    <s v="Jan"/>
  </r>
  <r>
    <n v="29"/>
    <x v="2"/>
    <x v="1"/>
    <m/>
    <m/>
    <s v="Travel_Rarely"/>
    <n v="598"/>
    <x v="1"/>
    <n v="9"/>
    <n v="3"/>
    <x v="0"/>
    <n v="1"/>
    <n v="1558"/>
    <m/>
    <n v="3"/>
    <x v="1"/>
    <x v="1"/>
    <x v="2"/>
    <n v="2451"/>
    <x v="1"/>
    <s v="Jan"/>
  </r>
  <r>
    <n v="33"/>
    <x v="2"/>
    <x v="1"/>
    <m/>
    <m/>
    <s v="Travel_Rarely"/>
    <n v="1242"/>
    <x v="0"/>
    <n v="8"/>
    <n v="4"/>
    <x v="0"/>
    <n v="1"/>
    <n v="1560"/>
    <m/>
    <n v="1"/>
    <x v="0"/>
    <x v="0"/>
    <x v="3"/>
    <n v="6392"/>
    <x v="1"/>
    <s v="Jan"/>
  </r>
  <r>
    <n v="30"/>
    <x v="2"/>
    <x v="0"/>
    <m/>
    <m/>
    <s v="Travel_Rarely"/>
    <n v="740"/>
    <x v="0"/>
    <n v="1"/>
    <n v="3"/>
    <x v="0"/>
    <n v="1"/>
    <n v="1562"/>
    <m/>
    <n v="2"/>
    <x v="0"/>
    <x v="0"/>
    <x v="3"/>
    <n v="9714"/>
    <x v="1"/>
    <s v="Jan"/>
  </r>
  <r>
    <n v="38"/>
    <x v="0"/>
    <x v="1"/>
    <m/>
    <m/>
    <s v="Travel_Frequently"/>
    <n v="888"/>
    <x v="2"/>
    <n v="10"/>
    <n v="4"/>
    <x v="5"/>
    <n v="1"/>
    <n v="1563"/>
    <m/>
    <n v="3"/>
    <x v="0"/>
    <x v="8"/>
    <x v="2"/>
    <n v="6077"/>
    <x v="1"/>
    <s v="Jan"/>
  </r>
  <r>
    <n v="35"/>
    <x v="0"/>
    <x v="1"/>
    <m/>
    <m/>
    <s v="Travel_Rarely"/>
    <n v="992"/>
    <x v="1"/>
    <n v="1"/>
    <n v="3"/>
    <x v="2"/>
    <n v="1"/>
    <n v="1564"/>
    <m/>
    <n v="4"/>
    <x v="1"/>
    <x v="2"/>
    <x v="3"/>
    <n v="2450"/>
    <x v="1"/>
    <s v="Jan"/>
  </r>
  <r>
    <n v="30"/>
    <x v="2"/>
    <x v="1"/>
    <m/>
    <m/>
    <s v="Travel_Rarely"/>
    <n v="1288"/>
    <x v="0"/>
    <n v="29"/>
    <n v="4"/>
    <x v="4"/>
    <n v="1"/>
    <n v="1568"/>
    <m/>
    <n v="3"/>
    <x v="2"/>
    <x v="0"/>
    <x v="1"/>
    <n v="9250"/>
    <x v="1"/>
    <s v="Jan"/>
  </r>
  <r>
    <n v="35"/>
    <x v="0"/>
    <x v="0"/>
    <m/>
    <m/>
    <s v="Travel_Rarely"/>
    <n v="104"/>
    <x v="1"/>
    <n v="2"/>
    <n v="3"/>
    <x v="0"/>
    <n v="1"/>
    <n v="1569"/>
    <m/>
    <n v="1"/>
    <x v="1"/>
    <x v="2"/>
    <x v="3"/>
    <n v="2074"/>
    <x v="0"/>
    <s v="Jan"/>
  </r>
  <r>
    <n v="53"/>
    <x v="1"/>
    <x v="0"/>
    <m/>
    <m/>
    <s v="Travel_Rarely"/>
    <n v="607"/>
    <x v="1"/>
    <n v="2"/>
    <n v="5"/>
    <x v="4"/>
    <n v="1"/>
    <n v="1572"/>
    <m/>
    <n v="3"/>
    <x v="2"/>
    <x v="3"/>
    <x v="0"/>
    <n v="10169"/>
    <x v="1"/>
    <s v="Jan"/>
  </r>
  <r>
    <n v="38"/>
    <x v="0"/>
    <x v="0"/>
    <m/>
    <m/>
    <s v="Travel_Rarely"/>
    <n v="903"/>
    <x v="1"/>
    <n v="2"/>
    <n v="3"/>
    <x v="2"/>
    <n v="1"/>
    <n v="1573"/>
    <m/>
    <n v="3"/>
    <x v="0"/>
    <x v="3"/>
    <x v="1"/>
    <n v="4855"/>
    <x v="1"/>
    <s v="Jan"/>
  </r>
  <r>
    <n v="32"/>
    <x v="2"/>
    <x v="1"/>
    <m/>
    <m/>
    <s v="Non-Travel"/>
    <n v="1200"/>
    <x v="1"/>
    <n v="1"/>
    <n v="4"/>
    <x v="4"/>
    <n v="1"/>
    <n v="1574"/>
    <m/>
    <n v="4"/>
    <x v="0"/>
    <x v="1"/>
    <x v="3"/>
    <n v="4087"/>
    <x v="1"/>
    <s v="Jan"/>
  </r>
  <r>
    <n v="48"/>
    <x v="1"/>
    <x v="1"/>
    <m/>
    <m/>
    <s v="Travel_Rarely"/>
    <n v="1108"/>
    <x v="1"/>
    <n v="15"/>
    <n v="4"/>
    <x v="1"/>
    <n v="1"/>
    <n v="1576"/>
    <m/>
    <n v="3"/>
    <x v="1"/>
    <x v="1"/>
    <x v="3"/>
    <n v="2367"/>
    <x v="1"/>
    <s v="Jan"/>
  </r>
  <r>
    <n v="34"/>
    <x v="2"/>
    <x v="1"/>
    <m/>
    <m/>
    <s v="Travel_Rarely"/>
    <n v="479"/>
    <x v="1"/>
    <n v="7"/>
    <n v="4"/>
    <x v="2"/>
    <n v="1"/>
    <n v="1577"/>
    <m/>
    <n v="1"/>
    <x v="1"/>
    <x v="1"/>
    <x v="0"/>
    <n v="2972"/>
    <x v="1"/>
    <s v="Jan"/>
  </r>
  <r>
    <n v="55"/>
    <x v="3"/>
    <x v="1"/>
    <m/>
    <m/>
    <s v="Travel_Rarely"/>
    <n v="685"/>
    <x v="0"/>
    <n v="26"/>
    <n v="5"/>
    <x v="3"/>
    <n v="1"/>
    <n v="1578"/>
    <m/>
    <n v="3"/>
    <x v="4"/>
    <x v="5"/>
    <x v="0"/>
    <n v="19586"/>
    <x v="1"/>
    <s v="Jan"/>
  </r>
  <r>
    <n v="34"/>
    <x v="2"/>
    <x v="1"/>
    <m/>
    <m/>
    <s v="Travel_Rarely"/>
    <n v="1351"/>
    <x v="1"/>
    <n v="1"/>
    <n v="4"/>
    <x v="0"/>
    <n v="1"/>
    <n v="1580"/>
    <m/>
    <n v="2"/>
    <x v="0"/>
    <x v="1"/>
    <x v="0"/>
    <n v="5484"/>
    <x v="1"/>
    <s v="Jan"/>
  </r>
  <r>
    <n v="26"/>
    <x v="2"/>
    <x v="1"/>
    <m/>
    <m/>
    <s v="Travel_Rarely"/>
    <n v="474"/>
    <x v="1"/>
    <n v="3"/>
    <n v="3"/>
    <x v="0"/>
    <n v="1"/>
    <n v="1581"/>
    <m/>
    <n v="1"/>
    <x v="1"/>
    <x v="1"/>
    <x v="0"/>
    <n v="2061"/>
    <x v="1"/>
    <s v="Jan"/>
  </r>
  <r>
    <n v="38"/>
    <x v="0"/>
    <x v="1"/>
    <m/>
    <m/>
    <s v="Travel_Rarely"/>
    <n v="1245"/>
    <x v="0"/>
    <n v="14"/>
    <n v="3"/>
    <x v="0"/>
    <n v="1"/>
    <n v="1582"/>
    <m/>
    <n v="3"/>
    <x v="0"/>
    <x v="0"/>
    <x v="1"/>
    <n v="9924"/>
    <x v="1"/>
    <s v="Jan"/>
  </r>
  <r>
    <n v="38"/>
    <x v="0"/>
    <x v="1"/>
    <m/>
    <m/>
    <s v="Travel_Rarely"/>
    <n v="437"/>
    <x v="0"/>
    <n v="16"/>
    <n v="3"/>
    <x v="0"/>
    <n v="1"/>
    <n v="1583"/>
    <m/>
    <n v="2"/>
    <x v="0"/>
    <x v="0"/>
    <x v="1"/>
    <n v="4198"/>
    <x v="1"/>
    <s v="Jan"/>
  </r>
  <r>
    <n v="36"/>
    <x v="0"/>
    <x v="1"/>
    <m/>
    <m/>
    <s v="Travel_Rarely"/>
    <n v="884"/>
    <x v="0"/>
    <n v="1"/>
    <n v="4"/>
    <x v="0"/>
    <n v="1"/>
    <n v="1585"/>
    <m/>
    <n v="2"/>
    <x v="0"/>
    <x v="0"/>
    <x v="2"/>
    <n v="6815"/>
    <x v="1"/>
    <s v="Jan"/>
  </r>
  <r>
    <n v="29"/>
    <x v="2"/>
    <x v="1"/>
    <m/>
    <m/>
    <s v="Travel_Rarely"/>
    <n v="1370"/>
    <x v="1"/>
    <n v="3"/>
    <n v="1"/>
    <x v="2"/>
    <n v="1"/>
    <n v="1586"/>
    <m/>
    <n v="2"/>
    <x v="1"/>
    <x v="2"/>
    <x v="3"/>
    <n v="4723"/>
    <x v="0"/>
    <s v="Jan"/>
  </r>
  <r>
    <n v="35"/>
    <x v="0"/>
    <x v="1"/>
    <m/>
    <m/>
    <s v="Travel_Rarely"/>
    <n v="670"/>
    <x v="1"/>
    <n v="10"/>
    <n v="4"/>
    <x v="2"/>
    <n v="1"/>
    <n v="1587"/>
    <m/>
    <n v="1"/>
    <x v="0"/>
    <x v="4"/>
    <x v="2"/>
    <n v="6142"/>
    <x v="0"/>
    <s v="Jan"/>
  </r>
  <r>
    <n v="39"/>
    <x v="0"/>
    <x v="1"/>
    <m/>
    <m/>
    <s v="Travel_Rarely"/>
    <n v="1462"/>
    <x v="0"/>
    <n v="6"/>
    <n v="3"/>
    <x v="2"/>
    <n v="1"/>
    <n v="1588"/>
    <m/>
    <n v="4"/>
    <x v="2"/>
    <x v="0"/>
    <x v="2"/>
    <n v="8237"/>
    <x v="1"/>
    <s v="Jan"/>
  </r>
  <r>
    <n v="29"/>
    <x v="2"/>
    <x v="1"/>
    <m/>
    <m/>
    <s v="Travel_Frequently"/>
    <n v="995"/>
    <x v="1"/>
    <n v="2"/>
    <n v="1"/>
    <x v="0"/>
    <n v="1"/>
    <n v="1590"/>
    <m/>
    <n v="1"/>
    <x v="0"/>
    <x v="4"/>
    <x v="0"/>
    <n v="8853"/>
    <x v="1"/>
    <s v="Jan"/>
  </r>
  <r>
    <n v="50"/>
    <x v="1"/>
    <x v="1"/>
    <m/>
    <m/>
    <s v="Travel_Rarely"/>
    <n v="264"/>
    <x v="0"/>
    <n v="9"/>
    <n v="3"/>
    <x v="3"/>
    <n v="1"/>
    <n v="1591"/>
    <m/>
    <n v="3"/>
    <x v="4"/>
    <x v="5"/>
    <x v="2"/>
    <n v="19331"/>
    <x v="0"/>
    <s v="Jan"/>
  </r>
  <r>
    <n v="23"/>
    <x v="4"/>
    <x v="1"/>
    <m/>
    <m/>
    <s v="Travel_Rarely"/>
    <n v="977"/>
    <x v="1"/>
    <n v="10"/>
    <n v="3"/>
    <x v="4"/>
    <n v="1"/>
    <n v="1592"/>
    <m/>
    <n v="4"/>
    <x v="1"/>
    <x v="1"/>
    <x v="2"/>
    <n v="2073"/>
    <x v="1"/>
    <s v="Jan"/>
  </r>
  <r>
    <n v="36"/>
    <x v="0"/>
    <x v="1"/>
    <m/>
    <m/>
    <s v="Travel_Frequently"/>
    <n v="1302"/>
    <x v="1"/>
    <n v="6"/>
    <n v="4"/>
    <x v="0"/>
    <n v="1"/>
    <n v="1594"/>
    <m/>
    <n v="1"/>
    <x v="0"/>
    <x v="2"/>
    <x v="3"/>
    <n v="5562"/>
    <x v="0"/>
    <s v="Jan"/>
  </r>
  <r>
    <n v="42"/>
    <x v="0"/>
    <x v="1"/>
    <m/>
    <m/>
    <s v="Travel_Rarely"/>
    <n v="1059"/>
    <x v="1"/>
    <n v="9"/>
    <n v="2"/>
    <x v="1"/>
    <n v="1"/>
    <n v="1595"/>
    <m/>
    <n v="4"/>
    <x v="4"/>
    <x v="5"/>
    <x v="0"/>
    <n v="19613"/>
    <x v="1"/>
    <s v="Jan"/>
  </r>
  <r>
    <n v="35"/>
    <x v="0"/>
    <x v="1"/>
    <m/>
    <m/>
    <s v="Travel_Rarely"/>
    <n v="750"/>
    <x v="1"/>
    <n v="28"/>
    <n v="3"/>
    <x v="0"/>
    <n v="1"/>
    <n v="1596"/>
    <m/>
    <n v="2"/>
    <x v="0"/>
    <x v="2"/>
    <x v="2"/>
    <n v="3407"/>
    <x v="1"/>
    <s v="Jan"/>
  </r>
  <r>
    <n v="34"/>
    <x v="2"/>
    <x v="1"/>
    <m/>
    <m/>
    <s v="Travel_Frequently"/>
    <n v="653"/>
    <x v="1"/>
    <n v="10"/>
    <n v="4"/>
    <x v="4"/>
    <n v="1"/>
    <n v="1597"/>
    <m/>
    <n v="4"/>
    <x v="0"/>
    <x v="4"/>
    <x v="2"/>
    <n v="5063"/>
    <x v="1"/>
    <s v="Jan"/>
  </r>
  <r>
    <n v="40"/>
    <x v="0"/>
    <x v="1"/>
    <m/>
    <m/>
    <s v="Travel_Rarely"/>
    <n v="118"/>
    <x v="0"/>
    <n v="14"/>
    <n v="2"/>
    <x v="0"/>
    <n v="1"/>
    <n v="1598"/>
    <m/>
    <n v="4"/>
    <x v="0"/>
    <x v="0"/>
    <x v="3"/>
    <n v="4639"/>
    <x v="1"/>
    <s v="Jan"/>
  </r>
  <r>
    <n v="43"/>
    <x v="0"/>
    <x v="1"/>
    <m/>
    <m/>
    <s v="Travel_Rarely"/>
    <n v="990"/>
    <x v="1"/>
    <n v="27"/>
    <n v="3"/>
    <x v="4"/>
    <n v="1"/>
    <n v="1599"/>
    <m/>
    <n v="4"/>
    <x v="1"/>
    <x v="2"/>
    <x v="1"/>
    <n v="4876"/>
    <x v="1"/>
    <s v="Jan"/>
  </r>
  <r>
    <n v="35"/>
    <x v="0"/>
    <x v="1"/>
    <m/>
    <m/>
    <s v="Travel_Rarely"/>
    <n v="1349"/>
    <x v="1"/>
    <n v="7"/>
    <n v="2"/>
    <x v="0"/>
    <n v="1"/>
    <n v="1601"/>
    <m/>
    <n v="3"/>
    <x v="1"/>
    <x v="2"/>
    <x v="0"/>
    <n v="2690"/>
    <x v="1"/>
    <s v="Jan"/>
  </r>
  <r>
    <n v="46"/>
    <x v="1"/>
    <x v="1"/>
    <m/>
    <m/>
    <s v="Travel_Rarely"/>
    <n v="563"/>
    <x v="0"/>
    <n v="1"/>
    <n v="4"/>
    <x v="0"/>
    <n v="1"/>
    <n v="1602"/>
    <m/>
    <n v="4"/>
    <x v="3"/>
    <x v="5"/>
    <x v="3"/>
    <n v="17567"/>
    <x v="1"/>
    <s v="Jan"/>
  </r>
  <r>
    <n v="28"/>
    <x v="2"/>
    <x v="0"/>
    <m/>
    <m/>
    <s v="Travel_Rarely"/>
    <n v="329"/>
    <x v="1"/>
    <n v="24"/>
    <n v="3"/>
    <x v="2"/>
    <n v="1"/>
    <n v="1604"/>
    <m/>
    <n v="3"/>
    <x v="1"/>
    <x v="2"/>
    <x v="1"/>
    <n v="2408"/>
    <x v="0"/>
    <s v="Jan"/>
  </r>
  <r>
    <n v="22"/>
    <x v="4"/>
    <x v="1"/>
    <m/>
    <m/>
    <s v="Non-Travel"/>
    <n v="457"/>
    <x v="1"/>
    <n v="26"/>
    <n v="2"/>
    <x v="1"/>
    <n v="1"/>
    <n v="1605"/>
    <m/>
    <n v="2"/>
    <x v="1"/>
    <x v="1"/>
    <x v="2"/>
    <n v="2814"/>
    <x v="0"/>
    <s v="Jan"/>
  </r>
  <r>
    <n v="50"/>
    <x v="1"/>
    <x v="1"/>
    <m/>
    <m/>
    <s v="Travel_Frequently"/>
    <n v="1234"/>
    <x v="1"/>
    <n v="20"/>
    <n v="5"/>
    <x v="2"/>
    <n v="1"/>
    <n v="1606"/>
    <m/>
    <n v="2"/>
    <x v="3"/>
    <x v="4"/>
    <x v="2"/>
    <n v="11245"/>
    <x v="0"/>
    <s v="Jan"/>
  </r>
  <r>
    <n v="32"/>
    <x v="2"/>
    <x v="1"/>
    <m/>
    <m/>
    <s v="Travel_Rarely"/>
    <n v="634"/>
    <x v="1"/>
    <n v="5"/>
    <n v="4"/>
    <x v="1"/>
    <n v="1"/>
    <n v="1607"/>
    <m/>
    <n v="2"/>
    <x v="1"/>
    <x v="1"/>
    <x v="0"/>
    <n v="3312"/>
    <x v="1"/>
    <s v="Jan"/>
  </r>
  <r>
    <n v="44"/>
    <x v="0"/>
    <x v="1"/>
    <m/>
    <m/>
    <s v="Travel_Rarely"/>
    <n v="1313"/>
    <x v="1"/>
    <n v="7"/>
    <n v="3"/>
    <x v="2"/>
    <n v="1"/>
    <n v="1608"/>
    <m/>
    <n v="2"/>
    <x v="4"/>
    <x v="7"/>
    <x v="0"/>
    <n v="19049"/>
    <x v="0"/>
    <s v="Jan"/>
  </r>
  <r>
    <n v="30"/>
    <x v="2"/>
    <x v="1"/>
    <m/>
    <m/>
    <s v="Travel_Rarely"/>
    <n v="241"/>
    <x v="1"/>
    <n v="7"/>
    <n v="3"/>
    <x v="2"/>
    <n v="1"/>
    <n v="1609"/>
    <m/>
    <n v="2"/>
    <x v="1"/>
    <x v="1"/>
    <x v="1"/>
    <n v="2141"/>
    <x v="1"/>
    <s v="Jan"/>
  </r>
  <r>
    <n v="45"/>
    <x v="1"/>
    <x v="1"/>
    <m/>
    <m/>
    <s v="Travel_Rarely"/>
    <n v="1015"/>
    <x v="1"/>
    <n v="5"/>
    <n v="5"/>
    <x v="2"/>
    <n v="1"/>
    <n v="1611"/>
    <m/>
    <n v="3"/>
    <x v="0"/>
    <x v="2"/>
    <x v="3"/>
    <n v="5769"/>
    <x v="0"/>
    <s v="Jan"/>
  </r>
  <r>
    <n v="45"/>
    <x v="1"/>
    <x v="1"/>
    <m/>
    <m/>
    <s v="Non-Travel"/>
    <n v="336"/>
    <x v="0"/>
    <n v="26"/>
    <n v="3"/>
    <x v="3"/>
    <n v="1"/>
    <n v="1612"/>
    <m/>
    <n v="1"/>
    <x v="0"/>
    <x v="0"/>
    <x v="3"/>
    <n v="4385"/>
    <x v="1"/>
    <s v="Jan"/>
  </r>
  <r>
    <n v="31"/>
    <x v="2"/>
    <x v="1"/>
    <m/>
    <m/>
    <s v="Travel_Frequently"/>
    <n v="715"/>
    <x v="0"/>
    <n v="2"/>
    <n v="4"/>
    <x v="1"/>
    <n v="1"/>
    <n v="1613"/>
    <m/>
    <n v="4"/>
    <x v="0"/>
    <x v="0"/>
    <x v="3"/>
    <n v="5332"/>
    <x v="1"/>
    <s v="Jan"/>
  </r>
  <r>
    <n v="36"/>
    <x v="0"/>
    <x v="1"/>
    <m/>
    <m/>
    <s v="Travel_Rarely"/>
    <n v="559"/>
    <x v="1"/>
    <n v="12"/>
    <n v="4"/>
    <x v="0"/>
    <n v="1"/>
    <n v="1614"/>
    <m/>
    <n v="3"/>
    <x v="0"/>
    <x v="3"/>
    <x v="2"/>
    <n v="4663"/>
    <x v="0"/>
    <s v="Jan"/>
  </r>
  <r>
    <n v="34"/>
    <x v="2"/>
    <x v="1"/>
    <m/>
    <m/>
    <s v="Travel_Frequently"/>
    <n v="426"/>
    <x v="1"/>
    <n v="10"/>
    <n v="4"/>
    <x v="0"/>
    <n v="1"/>
    <n v="1615"/>
    <m/>
    <n v="3"/>
    <x v="0"/>
    <x v="3"/>
    <x v="0"/>
    <n v="4724"/>
    <x v="1"/>
    <s v="Jan"/>
  </r>
  <r>
    <n v="49"/>
    <x v="1"/>
    <x v="1"/>
    <m/>
    <m/>
    <s v="Travel_Rarely"/>
    <n v="722"/>
    <x v="1"/>
    <n v="25"/>
    <n v="4"/>
    <x v="0"/>
    <n v="1"/>
    <n v="1617"/>
    <m/>
    <n v="3"/>
    <x v="1"/>
    <x v="2"/>
    <x v="3"/>
    <n v="3211"/>
    <x v="1"/>
    <s v="Jan"/>
  </r>
  <r>
    <n v="39"/>
    <x v="0"/>
    <x v="1"/>
    <m/>
    <m/>
    <s v="Travel_Rarely"/>
    <n v="1387"/>
    <x v="1"/>
    <n v="10"/>
    <n v="5"/>
    <x v="2"/>
    <n v="1"/>
    <n v="1618"/>
    <m/>
    <n v="2"/>
    <x v="0"/>
    <x v="3"/>
    <x v="3"/>
    <n v="5377"/>
    <x v="1"/>
    <s v="Jan"/>
  </r>
  <r>
    <n v="27"/>
    <x v="2"/>
    <x v="1"/>
    <m/>
    <m/>
    <s v="Travel_Rarely"/>
    <n v="1302"/>
    <x v="1"/>
    <n v="19"/>
    <n v="3"/>
    <x v="1"/>
    <n v="1"/>
    <n v="1619"/>
    <m/>
    <n v="4"/>
    <x v="1"/>
    <x v="2"/>
    <x v="3"/>
    <n v="4066"/>
    <x v="1"/>
    <s v="Jan"/>
  </r>
  <r>
    <n v="35"/>
    <x v="0"/>
    <x v="1"/>
    <m/>
    <m/>
    <s v="Travel_Rarely"/>
    <n v="819"/>
    <x v="1"/>
    <n v="18"/>
    <n v="5"/>
    <x v="0"/>
    <n v="1"/>
    <n v="1621"/>
    <m/>
    <n v="2"/>
    <x v="0"/>
    <x v="1"/>
    <x v="3"/>
    <n v="5208"/>
    <x v="1"/>
    <s v="Jan"/>
  </r>
  <r>
    <n v="28"/>
    <x v="2"/>
    <x v="1"/>
    <m/>
    <m/>
    <s v="Travel_Rarely"/>
    <n v="580"/>
    <x v="1"/>
    <n v="27"/>
    <n v="3"/>
    <x v="2"/>
    <n v="1"/>
    <n v="1622"/>
    <m/>
    <n v="2"/>
    <x v="0"/>
    <x v="3"/>
    <x v="3"/>
    <n v="4877"/>
    <x v="1"/>
    <s v="Jan"/>
  </r>
  <r>
    <n v="21"/>
    <x v="4"/>
    <x v="1"/>
    <m/>
    <m/>
    <s v="Travel_Rarely"/>
    <n v="546"/>
    <x v="1"/>
    <n v="5"/>
    <n v="1"/>
    <x v="2"/>
    <n v="1"/>
    <n v="1623"/>
    <m/>
    <n v="3"/>
    <x v="1"/>
    <x v="1"/>
    <x v="0"/>
    <n v="3117"/>
    <x v="1"/>
    <s v="Jan"/>
  </r>
  <r>
    <n v="18"/>
    <x v="4"/>
    <x v="0"/>
    <m/>
    <m/>
    <s v="Travel_Frequently"/>
    <n v="544"/>
    <x v="0"/>
    <n v="3"/>
    <n v="2"/>
    <x v="2"/>
    <n v="1"/>
    <n v="1624"/>
    <m/>
    <n v="2"/>
    <x v="1"/>
    <x v="6"/>
    <x v="0"/>
    <n v="1569"/>
    <x v="0"/>
    <s v="Jan"/>
  </r>
  <r>
    <n v="47"/>
    <x v="1"/>
    <x v="1"/>
    <m/>
    <m/>
    <s v="Travel_Rarely"/>
    <n v="1176"/>
    <x v="2"/>
    <n v="26"/>
    <n v="4"/>
    <x v="0"/>
    <n v="1"/>
    <n v="1625"/>
    <m/>
    <n v="4"/>
    <x v="4"/>
    <x v="5"/>
    <x v="2"/>
    <n v="19658"/>
    <x v="1"/>
    <s v="Jan"/>
  </r>
  <r>
    <n v="39"/>
    <x v="0"/>
    <x v="1"/>
    <m/>
    <m/>
    <s v="Travel_Rarely"/>
    <n v="170"/>
    <x v="1"/>
    <n v="3"/>
    <n v="2"/>
    <x v="2"/>
    <n v="1"/>
    <n v="1627"/>
    <m/>
    <n v="3"/>
    <x v="0"/>
    <x v="2"/>
    <x v="2"/>
    <n v="3069"/>
    <x v="1"/>
    <s v="Jan"/>
  </r>
  <r>
    <n v="40"/>
    <x v="0"/>
    <x v="1"/>
    <m/>
    <m/>
    <s v="Travel_Rarely"/>
    <n v="884"/>
    <x v="1"/>
    <n v="15"/>
    <n v="3"/>
    <x v="0"/>
    <n v="1"/>
    <n v="1628"/>
    <m/>
    <n v="1"/>
    <x v="2"/>
    <x v="3"/>
    <x v="2"/>
    <n v="10435"/>
    <x v="1"/>
    <s v="Jan"/>
  </r>
  <r>
    <n v="35"/>
    <x v="0"/>
    <x v="1"/>
    <m/>
    <m/>
    <s v="Non-Travel"/>
    <n v="208"/>
    <x v="1"/>
    <n v="8"/>
    <n v="4"/>
    <x v="0"/>
    <n v="1"/>
    <n v="1630"/>
    <m/>
    <n v="3"/>
    <x v="0"/>
    <x v="4"/>
    <x v="2"/>
    <n v="4148"/>
    <x v="1"/>
    <s v="Jan"/>
  </r>
  <r>
    <n v="37"/>
    <x v="0"/>
    <x v="1"/>
    <m/>
    <m/>
    <s v="Travel_Rarely"/>
    <n v="671"/>
    <x v="1"/>
    <n v="19"/>
    <n v="3"/>
    <x v="0"/>
    <n v="1"/>
    <n v="1631"/>
    <m/>
    <n v="3"/>
    <x v="0"/>
    <x v="3"/>
    <x v="2"/>
    <n v="5768"/>
    <x v="1"/>
    <s v="Jan"/>
  </r>
  <r>
    <n v="39"/>
    <x v="0"/>
    <x v="1"/>
    <m/>
    <m/>
    <s v="Travel_Frequently"/>
    <n v="711"/>
    <x v="1"/>
    <n v="4"/>
    <n v="3"/>
    <x v="2"/>
    <n v="1"/>
    <n v="1633"/>
    <m/>
    <n v="1"/>
    <x v="0"/>
    <x v="3"/>
    <x v="2"/>
    <n v="5042"/>
    <x v="1"/>
    <s v="Jan"/>
  </r>
  <r>
    <n v="45"/>
    <x v="1"/>
    <x v="1"/>
    <m/>
    <m/>
    <s v="Travel_Rarely"/>
    <n v="1329"/>
    <x v="1"/>
    <n v="2"/>
    <n v="2"/>
    <x v="1"/>
    <n v="1"/>
    <n v="1635"/>
    <m/>
    <n v="4"/>
    <x v="0"/>
    <x v="3"/>
    <x v="0"/>
    <n v="5770"/>
    <x v="1"/>
    <s v="Jan"/>
  </r>
  <r>
    <n v="38"/>
    <x v="0"/>
    <x v="1"/>
    <m/>
    <m/>
    <s v="Travel_Rarely"/>
    <n v="397"/>
    <x v="1"/>
    <n v="2"/>
    <n v="2"/>
    <x v="2"/>
    <n v="1"/>
    <n v="1638"/>
    <m/>
    <n v="4"/>
    <x v="2"/>
    <x v="3"/>
    <x v="2"/>
    <n v="7756"/>
    <x v="0"/>
    <s v="Jan"/>
  </r>
  <r>
    <n v="35"/>
    <x v="0"/>
    <x v="0"/>
    <m/>
    <m/>
    <s v="Travel_Rarely"/>
    <n v="737"/>
    <x v="0"/>
    <n v="10"/>
    <n v="3"/>
    <x v="2"/>
    <n v="1"/>
    <n v="1639"/>
    <m/>
    <n v="4"/>
    <x v="2"/>
    <x v="0"/>
    <x v="3"/>
    <n v="10306"/>
    <x v="1"/>
    <s v="Jan"/>
  </r>
  <r>
    <n v="37"/>
    <x v="0"/>
    <x v="1"/>
    <m/>
    <m/>
    <s v="Travel_Rarely"/>
    <n v="1470"/>
    <x v="1"/>
    <n v="10"/>
    <n v="3"/>
    <x v="2"/>
    <n v="1"/>
    <n v="1640"/>
    <m/>
    <n v="2"/>
    <x v="1"/>
    <x v="1"/>
    <x v="1"/>
    <n v="3936"/>
    <x v="1"/>
    <s v="Jan"/>
  </r>
  <r>
    <n v="40"/>
    <x v="0"/>
    <x v="1"/>
    <m/>
    <m/>
    <s v="Travel_Rarely"/>
    <n v="448"/>
    <x v="1"/>
    <n v="16"/>
    <n v="3"/>
    <x v="0"/>
    <n v="1"/>
    <n v="1641"/>
    <m/>
    <n v="3"/>
    <x v="2"/>
    <x v="3"/>
    <x v="0"/>
    <n v="7945"/>
    <x v="0"/>
    <s v="Jan"/>
  </r>
  <r>
    <n v="44"/>
    <x v="0"/>
    <x v="1"/>
    <m/>
    <m/>
    <s v="Travel_Frequently"/>
    <n v="602"/>
    <x v="2"/>
    <n v="1"/>
    <n v="5"/>
    <x v="5"/>
    <n v="1"/>
    <n v="1642"/>
    <m/>
    <n v="1"/>
    <x v="0"/>
    <x v="8"/>
    <x v="0"/>
    <n v="5743"/>
    <x v="0"/>
    <s v="Jan"/>
  </r>
  <r>
    <n v="48"/>
    <x v="1"/>
    <x v="1"/>
    <m/>
    <m/>
    <s v="Travel_Frequently"/>
    <n v="365"/>
    <x v="1"/>
    <n v="4"/>
    <n v="5"/>
    <x v="2"/>
    <n v="1"/>
    <n v="1644"/>
    <m/>
    <n v="3"/>
    <x v="3"/>
    <x v="5"/>
    <x v="0"/>
    <n v="15202"/>
    <x v="1"/>
    <s v="Jan"/>
  </r>
  <r>
    <n v="35"/>
    <x v="0"/>
    <x v="0"/>
    <m/>
    <m/>
    <s v="Travel_Rarely"/>
    <n v="763"/>
    <x v="0"/>
    <n v="15"/>
    <n v="2"/>
    <x v="2"/>
    <n v="1"/>
    <n v="1645"/>
    <m/>
    <n v="1"/>
    <x v="0"/>
    <x v="0"/>
    <x v="0"/>
    <n v="5440"/>
    <x v="0"/>
    <s v="Jan"/>
  </r>
  <r>
    <n v="24"/>
    <x v="4"/>
    <x v="1"/>
    <m/>
    <m/>
    <s v="Travel_Frequently"/>
    <n v="567"/>
    <x v="1"/>
    <n v="2"/>
    <n v="1"/>
    <x v="4"/>
    <n v="1"/>
    <n v="1646"/>
    <m/>
    <n v="1"/>
    <x v="1"/>
    <x v="1"/>
    <x v="0"/>
    <n v="3760"/>
    <x v="0"/>
    <s v="Jan"/>
  </r>
  <r>
    <n v="27"/>
    <x v="2"/>
    <x v="1"/>
    <m/>
    <m/>
    <s v="Travel_Rarely"/>
    <n v="486"/>
    <x v="1"/>
    <n v="8"/>
    <n v="3"/>
    <x v="2"/>
    <n v="1"/>
    <n v="1647"/>
    <m/>
    <n v="2"/>
    <x v="1"/>
    <x v="1"/>
    <x v="2"/>
    <n v="3517"/>
    <x v="1"/>
    <s v="Jan"/>
  </r>
  <r>
    <n v="27"/>
    <x v="2"/>
    <x v="1"/>
    <m/>
    <m/>
    <s v="Travel_Frequently"/>
    <n v="591"/>
    <x v="1"/>
    <n v="2"/>
    <n v="3"/>
    <x v="2"/>
    <n v="1"/>
    <n v="1648"/>
    <m/>
    <n v="4"/>
    <x v="1"/>
    <x v="1"/>
    <x v="0"/>
    <n v="2580"/>
    <x v="1"/>
    <s v="Jan"/>
  </r>
  <r>
    <n v="40"/>
    <x v="0"/>
    <x v="0"/>
    <m/>
    <m/>
    <s v="Travel_Rarely"/>
    <n v="1329"/>
    <x v="1"/>
    <n v="7"/>
    <n v="3"/>
    <x v="0"/>
    <n v="1"/>
    <n v="1649"/>
    <m/>
    <n v="1"/>
    <x v="1"/>
    <x v="2"/>
    <x v="3"/>
    <n v="2166"/>
    <x v="0"/>
    <s v="Jan"/>
  </r>
  <r>
    <n v="29"/>
    <x v="2"/>
    <x v="1"/>
    <m/>
    <m/>
    <s v="Travel_Rarely"/>
    <n v="469"/>
    <x v="0"/>
    <n v="10"/>
    <n v="3"/>
    <x v="2"/>
    <n v="1"/>
    <n v="1650"/>
    <m/>
    <n v="3"/>
    <x v="0"/>
    <x v="0"/>
    <x v="2"/>
    <n v="5869"/>
    <x v="1"/>
    <s v="Jan"/>
  </r>
  <r>
    <n v="36"/>
    <x v="0"/>
    <x v="1"/>
    <m/>
    <m/>
    <s v="Travel_Rarely"/>
    <n v="711"/>
    <x v="1"/>
    <n v="5"/>
    <n v="4"/>
    <x v="0"/>
    <n v="1"/>
    <n v="1651"/>
    <m/>
    <n v="2"/>
    <x v="2"/>
    <x v="4"/>
    <x v="3"/>
    <n v="8008"/>
    <x v="1"/>
    <s v="Jan"/>
  </r>
  <r>
    <n v="25"/>
    <x v="2"/>
    <x v="1"/>
    <m/>
    <m/>
    <s v="Travel_Frequently"/>
    <n v="772"/>
    <x v="1"/>
    <n v="2"/>
    <n v="1"/>
    <x v="0"/>
    <n v="1"/>
    <n v="1653"/>
    <m/>
    <n v="4"/>
    <x v="0"/>
    <x v="3"/>
    <x v="2"/>
    <n v="5206"/>
    <x v="1"/>
    <s v="Jan"/>
  </r>
  <r>
    <n v="39"/>
    <x v="0"/>
    <x v="1"/>
    <m/>
    <m/>
    <s v="Travel_Rarely"/>
    <n v="492"/>
    <x v="1"/>
    <n v="12"/>
    <n v="3"/>
    <x v="2"/>
    <n v="1"/>
    <n v="1654"/>
    <m/>
    <n v="4"/>
    <x v="0"/>
    <x v="3"/>
    <x v="1"/>
    <n v="5295"/>
    <x v="1"/>
    <s v="Jan"/>
  </r>
  <r>
    <n v="49"/>
    <x v="1"/>
    <x v="1"/>
    <m/>
    <m/>
    <s v="Travel_Rarely"/>
    <n v="301"/>
    <x v="1"/>
    <n v="22"/>
    <n v="4"/>
    <x v="1"/>
    <n v="1"/>
    <n v="1655"/>
    <m/>
    <n v="1"/>
    <x v="3"/>
    <x v="7"/>
    <x v="1"/>
    <n v="16413"/>
    <x v="1"/>
    <s v="Jan"/>
  </r>
  <r>
    <n v="50"/>
    <x v="1"/>
    <x v="1"/>
    <m/>
    <m/>
    <s v="Travel_Rarely"/>
    <n v="813"/>
    <x v="1"/>
    <n v="17"/>
    <n v="5"/>
    <x v="0"/>
    <n v="1"/>
    <n v="1656"/>
    <m/>
    <n v="4"/>
    <x v="2"/>
    <x v="7"/>
    <x v="3"/>
    <n v="13269"/>
    <x v="1"/>
    <s v="Jan"/>
  </r>
  <r>
    <n v="20"/>
    <x v="4"/>
    <x v="1"/>
    <m/>
    <m/>
    <s v="Travel_Rarely"/>
    <n v="1141"/>
    <x v="0"/>
    <n v="2"/>
    <n v="3"/>
    <x v="2"/>
    <n v="1"/>
    <n v="1657"/>
    <m/>
    <n v="3"/>
    <x v="1"/>
    <x v="6"/>
    <x v="2"/>
    <n v="2783"/>
    <x v="1"/>
    <s v="Jan"/>
  </r>
  <r>
    <n v="34"/>
    <x v="2"/>
    <x v="1"/>
    <m/>
    <m/>
    <s v="Travel_Rarely"/>
    <n v="1130"/>
    <x v="1"/>
    <n v="3"/>
    <n v="3"/>
    <x v="0"/>
    <n v="1"/>
    <n v="1658"/>
    <m/>
    <n v="4"/>
    <x v="0"/>
    <x v="1"/>
    <x v="1"/>
    <n v="5433"/>
    <x v="1"/>
    <s v="Jan"/>
  </r>
  <r>
    <n v="36"/>
    <x v="0"/>
    <x v="1"/>
    <m/>
    <m/>
    <s v="Travel_Rarely"/>
    <n v="311"/>
    <x v="1"/>
    <n v="7"/>
    <n v="3"/>
    <x v="0"/>
    <n v="1"/>
    <n v="1659"/>
    <m/>
    <n v="1"/>
    <x v="1"/>
    <x v="2"/>
    <x v="1"/>
    <n v="2013"/>
    <x v="1"/>
    <s v="Jan"/>
  </r>
  <r>
    <n v="49"/>
    <x v="1"/>
    <x v="1"/>
    <m/>
    <m/>
    <s v="Travel_Rarely"/>
    <n v="465"/>
    <x v="1"/>
    <n v="6"/>
    <n v="1"/>
    <x v="0"/>
    <n v="1"/>
    <n v="1661"/>
    <m/>
    <n v="3"/>
    <x v="3"/>
    <x v="4"/>
    <x v="2"/>
    <n v="13966"/>
    <x v="0"/>
    <s v="Jan"/>
  </r>
  <r>
    <n v="36"/>
    <x v="0"/>
    <x v="1"/>
    <m/>
    <m/>
    <s v="Non-Travel"/>
    <n v="894"/>
    <x v="1"/>
    <n v="1"/>
    <n v="4"/>
    <x v="2"/>
    <n v="1"/>
    <n v="1662"/>
    <m/>
    <n v="4"/>
    <x v="0"/>
    <x v="3"/>
    <x v="2"/>
    <n v="4374"/>
    <x v="1"/>
    <s v="Jan"/>
  </r>
  <r>
    <n v="36"/>
    <x v="0"/>
    <x v="1"/>
    <m/>
    <m/>
    <s v="Travel_Rarely"/>
    <n v="1040"/>
    <x v="1"/>
    <n v="3"/>
    <n v="2"/>
    <x v="0"/>
    <n v="1"/>
    <n v="1664"/>
    <m/>
    <n v="4"/>
    <x v="0"/>
    <x v="4"/>
    <x v="3"/>
    <n v="6842"/>
    <x v="1"/>
    <s v="Jan"/>
  </r>
  <r>
    <n v="54"/>
    <x v="1"/>
    <x v="1"/>
    <m/>
    <m/>
    <s v="Travel_Rarely"/>
    <n v="584"/>
    <x v="1"/>
    <n v="22"/>
    <n v="5"/>
    <x v="2"/>
    <n v="1"/>
    <n v="1665"/>
    <m/>
    <n v="2"/>
    <x v="3"/>
    <x v="5"/>
    <x v="2"/>
    <n v="17426"/>
    <x v="1"/>
    <s v="Jan"/>
  </r>
  <r>
    <n v="43"/>
    <x v="0"/>
    <x v="1"/>
    <m/>
    <m/>
    <s v="Travel_Rarely"/>
    <n v="1291"/>
    <x v="1"/>
    <n v="15"/>
    <n v="2"/>
    <x v="0"/>
    <n v="1"/>
    <n v="1666"/>
    <m/>
    <n v="3"/>
    <x v="3"/>
    <x v="7"/>
    <x v="2"/>
    <n v="17603"/>
    <x v="1"/>
    <s v="Jan"/>
  </r>
  <r>
    <n v="35"/>
    <x v="0"/>
    <x v="0"/>
    <m/>
    <m/>
    <s v="Travel_Frequently"/>
    <n v="880"/>
    <x v="0"/>
    <n v="12"/>
    <n v="4"/>
    <x v="1"/>
    <n v="1"/>
    <n v="1667"/>
    <m/>
    <n v="4"/>
    <x v="0"/>
    <x v="0"/>
    <x v="0"/>
    <n v="4581"/>
    <x v="0"/>
    <s v="Jan"/>
  </r>
  <r>
    <n v="38"/>
    <x v="0"/>
    <x v="1"/>
    <m/>
    <m/>
    <s v="Travel_Frequently"/>
    <n v="1189"/>
    <x v="1"/>
    <n v="1"/>
    <n v="3"/>
    <x v="0"/>
    <n v="1"/>
    <n v="1668"/>
    <m/>
    <n v="4"/>
    <x v="0"/>
    <x v="1"/>
    <x v="0"/>
    <n v="4735"/>
    <x v="1"/>
    <s v="Jan"/>
  </r>
  <r>
    <n v="29"/>
    <x v="2"/>
    <x v="1"/>
    <m/>
    <m/>
    <s v="Travel_Rarely"/>
    <n v="991"/>
    <x v="0"/>
    <n v="5"/>
    <n v="3"/>
    <x v="2"/>
    <n v="1"/>
    <n v="1669"/>
    <m/>
    <n v="1"/>
    <x v="0"/>
    <x v="0"/>
    <x v="1"/>
    <n v="4187"/>
    <x v="0"/>
    <s v="Jan"/>
  </r>
  <r>
    <n v="33"/>
    <x v="2"/>
    <x v="1"/>
    <m/>
    <m/>
    <s v="Travel_Rarely"/>
    <n v="392"/>
    <x v="0"/>
    <n v="2"/>
    <n v="4"/>
    <x v="2"/>
    <n v="1"/>
    <n v="1670"/>
    <m/>
    <n v="4"/>
    <x v="0"/>
    <x v="0"/>
    <x v="0"/>
    <n v="5505"/>
    <x v="1"/>
    <s v="Jan"/>
  </r>
  <r>
    <n v="32"/>
    <x v="2"/>
    <x v="1"/>
    <m/>
    <m/>
    <s v="Travel_Rarely"/>
    <n v="977"/>
    <x v="1"/>
    <n v="2"/>
    <n v="3"/>
    <x v="2"/>
    <n v="1"/>
    <n v="1671"/>
    <m/>
    <n v="4"/>
    <x v="0"/>
    <x v="1"/>
    <x v="1"/>
    <n v="5470"/>
    <x v="1"/>
    <s v="Jan"/>
  </r>
  <r>
    <n v="31"/>
    <x v="2"/>
    <x v="1"/>
    <m/>
    <m/>
    <s v="Travel_Rarely"/>
    <n v="1112"/>
    <x v="0"/>
    <n v="5"/>
    <n v="4"/>
    <x v="0"/>
    <n v="1"/>
    <n v="1673"/>
    <m/>
    <n v="1"/>
    <x v="0"/>
    <x v="0"/>
    <x v="0"/>
    <n v="5476"/>
    <x v="1"/>
    <s v="Jan"/>
  </r>
  <r>
    <n v="49"/>
    <x v="1"/>
    <x v="1"/>
    <m/>
    <m/>
    <s v="Travel_Rarely"/>
    <n v="464"/>
    <x v="1"/>
    <n v="16"/>
    <n v="3"/>
    <x v="2"/>
    <n v="1"/>
    <n v="1674"/>
    <m/>
    <n v="4"/>
    <x v="1"/>
    <x v="2"/>
    <x v="3"/>
    <n v="2587"/>
    <x v="0"/>
    <s v="Jan"/>
  </r>
  <r>
    <n v="38"/>
    <x v="0"/>
    <x v="1"/>
    <m/>
    <m/>
    <s v="Travel_Frequently"/>
    <n v="148"/>
    <x v="1"/>
    <n v="2"/>
    <n v="3"/>
    <x v="2"/>
    <n v="1"/>
    <n v="1675"/>
    <m/>
    <n v="4"/>
    <x v="1"/>
    <x v="2"/>
    <x v="1"/>
    <n v="2440"/>
    <x v="1"/>
    <s v="Jan"/>
  </r>
  <r>
    <n v="47"/>
    <x v="1"/>
    <x v="1"/>
    <m/>
    <m/>
    <s v="Travel_Rarely"/>
    <n v="1225"/>
    <x v="0"/>
    <n v="2"/>
    <n v="4"/>
    <x v="0"/>
    <n v="1"/>
    <n v="1676"/>
    <m/>
    <n v="2"/>
    <x v="3"/>
    <x v="5"/>
    <x v="1"/>
    <n v="15972"/>
    <x v="1"/>
    <s v="Jan"/>
  </r>
  <r>
    <n v="49"/>
    <x v="1"/>
    <x v="1"/>
    <m/>
    <m/>
    <s v="Travel_Rarely"/>
    <n v="809"/>
    <x v="1"/>
    <n v="1"/>
    <n v="3"/>
    <x v="0"/>
    <n v="1"/>
    <n v="1677"/>
    <m/>
    <n v="3"/>
    <x v="3"/>
    <x v="5"/>
    <x v="2"/>
    <n v="15379"/>
    <x v="1"/>
    <s v="Jan"/>
  </r>
  <r>
    <n v="41"/>
    <x v="0"/>
    <x v="1"/>
    <m/>
    <m/>
    <s v="Travel_Rarely"/>
    <n v="1206"/>
    <x v="0"/>
    <n v="23"/>
    <n v="2"/>
    <x v="0"/>
    <n v="1"/>
    <n v="1678"/>
    <m/>
    <n v="4"/>
    <x v="2"/>
    <x v="0"/>
    <x v="2"/>
    <n v="7082"/>
    <x v="0"/>
    <s v="Jan"/>
  </r>
  <r>
    <n v="20"/>
    <x v="4"/>
    <x v="1"/>
    <m/>
    <m/>
    <s v="Travel_Rarely"/>
    <n v="727"/>
    <x v="0"/>
    <n v="9"/>
    <n v="1"/>
    <x v="0"/>
    <n v="1"/>
    <n v="1680"/>
    <m/>
    <n v="4"/>
    <x v="1"/>
    <x v="6"/>
    <x v="3"/>
    <n v="2728"/>
    <x v="1"/>
    <s v="Jan"/>
  </r>
  <r>
    <n v="33"/>
    <x v="2"/>
    <x v="1"/>
    <m/>
    <m/>
    <s v="Non-Travel"/>
    <n v="530"/>
    <x v="0"/>
    <n v="16"/>
    <n v="3"/>
    <x v="0"/>
    <n v="1"/>
    <n v="1681"/>
    <m/>
    <n v="3"/>
    <x v="0"/>
    <x v="0"/>
    <x v="0"/>
    <n v="5368"/>
    <x v="0"/>
    <s v="Jan"/>
  </r>
  <r>
    <n v="36"/>
    <x v="0"/>
    <x v="1"/>
    <m/>
    <m/>
    <s v="Travel_Rarely"/>
    <n v="1351"/>
    <x v="1"/>
    <n v="26"/>
    <n v="4"/>
    <x v="0"/>
    <n v="1"/>
    <n v="1682"/>
    <m/>
    <n v="1"/>
    <x v="0"/>
    <x v="4"/>
    <x v="2"/>
    <n v="5347"/>
    <x v="1"/>
    <s v="Jan"/>
  </r>
  <r>
    <n v="44"/>
    <x v="0"/>
    <x v="1"/>
    <m/>
    <m/>
    <s v="Travel_Rarely"/>
    <n v="528"/>
    <x v="2"/>
    <n v="1"/>
    <n v="3"/>
    <x v="0"/>
    <n v="1"/>
    <n v="1683"/>
    <m/>
    <n v="3"/>
    <x v="1"/>
    <x v="8"/>
    <x v="0"/>
    <n v="3195"/>
    <x v="0"/>
    <s v="Jan"/>
  </r>
  <r>
    <n v="23"/>
    <x v="4"/>
    <x v="0"/>
    <m/>
    <m/>
    <s v="Travel_Rarely"/>
    <n v="1320"/>
    <x v="1"/>
    <n v="8"/>
    <n v="1"/>
    <x v="2"/>
    <n v="1"/>
    <n v="1684"/>
    <m/>
    <n v="4"/>
    <x v="1"/>
    <x v="2"/>
    <x v="2"/>
    <n v="3989"/>
    <x v="0"/>
    <s v="Jan"/>
  </r>
  <r>
    <n v="38"/>
    <x v="0"/>
    <x v="1"/>
    <m/>
    <m/>
    <s v="Travel_Rarely"/>
    <n v="1495"/>
    <x v="1"/>
    <n v="4"/>
    <n v="2"/>
    <x v="2"/>
    <n v="1"/>
    <n v="1687"/>
    <m/>
    <n v="4"/>
    <x v="1"/>
    <x v="2"/>
    <x v="2"/>
    <n v="3306"/>
    <x v="1"/>
    <s v="Jan"/>
  </r>
  <r>
    <n v="53"/>
    <x v="1"/>
    <x v="1"/>
    <m/>
    <m/>
    <s v="Travel_Rarely"/>
    <n v="1395"/>
    <x v="1"/>
    <n v="24"/>
    <n v="4"/>
    <x v="2"/>
    <n v="1"/>
    <n v="1689"/>
    <m/>
    <n v="2"/>
    <x v="2"/>
    <x v="4"/>
    <x v="0"/>
    <n v="7005"/>
    <x v="1"/>
    <s v="Jan"/>
  </r>
  <r>
    <n v="48"/>
    <x v="1"/>
    <x v="0"/>
    <m/>
    <m/>
    <s v="Travel_Frequently"/>
    <n v="708"/>
    <x v="0"/>
    <n v="7"/>
    <n v="2"/>
    <x v="2"/>
    <n v="1"/>
    <n v="1691"/>
    <m/>
    <n v="4"/>
    <x v="1"/>
    <x v="6"/>
    <x v="2"/>
    <n v="2655"/>
    <x v="0"/>
    <s v="Jan"/>
  </r>
  <r>
    <n v="32"/>
    <x v="2"/>
    <x v="0"/>
    <m/>
    <m/>
    <s v="Travel_Rarely"/>
    <n v="1259"/>
    <x v="1"/>
    <n v="2"/>
    <n v="4"/>
    <x v="0"/>
    <n v="1"/>
    <n v="1692"/>
    <m/>
    <n v="4"/>
    <x v="1"/>
    <x v="2"/>
    <x v="1"/>
    <n v="1393"/>
    <x v="1"/>
    <s v="Jan"/>
  </r>
  <r>
    <n v="26"/>
    <x v="2"/>
    <x v="1"/>
    <m/>
    <m/>
    <s v="Non-Travel"/>
    <n v="786"/>
    <x v="1"/>
    <n v="7"/>
    <n v="3"/>
    <x v="2"/>
    <n v="1"/>
    <n v="1693"/>
    <m/>
    <n v="4"/>
    <x v="1"/>
    <x v="2"/>
    <x v="0"/>
    <n v="2570"/>
    <x v="1"/>
    <s v="Jan"/>
  </r>
  <r>
    <n v="55"/>
    <x v="3"/>
    <x v="1"/>
    <m/>
    <m/>
    <s v="Travel_Rarely"/>
    <n v="1441"/>
    <x v="1"/>
    <n v="22"/>
    <n v="3"/>
    <x v="4"/>
    <n v="1"/>
    <n v="1694"/>
    <m/>
    <n v="1"/>
    <x v="1"/>
    <x v="1"/>
    <x v="1"/>
    <n v="3537"/>
    <x v="1"/>
    <s v="Jan"/>
  </r>
  <r>
    <n v="34"/>
    <x v="2"/>
    <x v="1"/>
    <m/>
    <m/>
    <s v="Travel_Rarely"/>
    <n v="1157"/>
    <x v="1"/>
    <n v="5"/>
    <n v="2"/>
    <x v="2"/>
    <n v="1"/>
    <n v="1696"/>
    <m/>
    <n v="2"/>
    <x v="0"/>
    <x v="2"/>
    <x v="0"/>
    <n v="3986"/>
    <x v="1"/>
    <s v="Jan"/>
  </r>
  <r>
    <n v="60"/>
    <x v="3"/>
    <x v="1"/>
    <m/>
    <m/>
    <s v="Travel_Rarely"/>
    <n v="370"/>
    <x v="1"/>
    <n v="1"/>
    <n v="4"/>
    <x v="2"/>
    <n v="1"/>
    <n v="1697"/>
    <m/>
    <n v="3"/>
    <x v="2"/>
    <x v="4"/>
    <x v="0"/>
    <n v="10883"/>
    <x v="1"/>
    <s v="Jan"/>
  </r>
  <r>
    <n v="33"/>
    <x v="2"/>
    <x v="1"/>
    <m/>
    <m/>
    <s v="Travel_Rarely"/>
    <n v="267"/>
    <x v="1"/>
    <n v="21"/>
    <n v="3"/>
    <x v="2"/>
    <n v="1"/>
    <n v="1698"/>
    <m/>
    <n v="2"/>
    <x v="1"/>
    <x v="2"/>
    <x v="1"/>
    <n v="2028"/>
    <x v="1"/>
    <s v="Jan"/>
  </r>
  <r>
    <n v="37"/>
    <x v="0"/>
    <x v="1"/>
    <m/>
    <m/>
    <s v="Travel_Frequently"/>
    <n v="1278"/>
    <x v="0"/>
    <n v="1"/>
    <n v="4"/>
    <x v="2"/>
    <n v="1"/>
    <n v="1700"/>
    <m/>
    <n v="3"/>
    <x v="0"/>
    <x v="0"/>
    <x v="0"/>
    <n v="9525"/>
    <x v="1"/>
    <s v="Jan"/>
  </r>
  <r>
    <n v="34"/>
    <x v="2"/>
    <x v="1"/>
    <m/>
    <m/>
    <s v="Travel_Rarely"/>
    <n v="678"/>
    <x v="1"/>
    <n v="19"/>
    <n v="3"/>
    <x v="0"/>
    <n v="1"/>
    <n v="1701"/>
    <m/>
    <n v="2"/>
    <x v="1"/>
    <x v="1"/>
    <x v="0"/>
    <n v="2929"/>
    <x v="1"/>
    <s v="Jan"/>
  </r>
  <r>
    <n v="23"/>
    <x v="4"/>
    <x v="0"/>
    <m/>
    <m/>
    <s v="Travel_Rarely"/>
    <n v="427"/>
    <x v="0"/>
    <n v="7"/>
    <n v="3"/>
    <x v="0"/>
    <n v="1"/>
    <n v="1702"/>
    <m/>
    <n v="3"/>
    <x v="1"/>
    <x v="6"/>
    <x v="0"/>
    <n v="2275"/>
    <x v="0"/>
    <s v="Jan"/>
  </r>
  <r>
    <n v="44"/>
    <x v="0"/>
    <x v="1"/>
    <m/>
    <m/>
    <s v="Travel_Rarely"/>
    <n v="921"/>
    <x v="1"/>
    <n v="2"/>
    <n v="3"/>
    <x v="0"/>
    <n v="1"/>
    <n v="1703"/>
    <m/>
    <n v="3"/>
    <x v="2"/>
    <x v="4"/>
    <x v="0"/>
    <n v="7879"/>
    <x v="0"/>
    <s v="Jan"/>
  </r>
  <r>
    <n v="35"/>
    <x v="0"/>
    <x v="1"/>
    <m/>
    <m/>
    <s v="Travel_Frequently"/>
    <n v="146"/>
    <x v="1"/>
    <n v="2"/>
    <n v="4"/>
    <x v="2"/>
    <n v="1"/>
    <n v="1704"/>
    <m/>
    <n v="1"/>
    <x v="1"/>
    <x v="1"/>
    <x v="0"/>
    <n v="4930"/>
    <x v="0"/>
    <s v="Jan"/>
  </r>
  <r>
    <n v="43"/>
    <x v="0"/>
    <x v="1"/>
    <m/>
    <m/>
    <s v="Travel_Rarely"/>
    <n v="1179"/>
    <x v="0"/>
    <n v="2"/>
    <n v="3"/>
    <x v="2"/>
    <n v="1"/>
    <n v="1706"/>
    <m/>
    <n v="4"/>
    <x v="0"/>
    <x v="0"/>
    <x v="0"/>
    <n v="7847"/>
    <x v="0"/>
    <s v="Jan"/>
  </r>
  <r>
    <n v="24"/>
    <x v="4"/>
    <x v="1"/>
    <m/>
    <m/>
    <s v="Travel_Rarely"/>
    <n v="581"/>
    <x v="1"/>
    <n v="9"/>
    <n v="3"/>
    <x v="2"/>
    <n v="1"/>
    <n v="1707"/>
    <m/>
    <n v="3"/>
    <x v="1"/>
    <x v="1"/>
    <x v="2"/>
    <n v="4401"/>
    <x v="1"/>
    <s v="Jan"/>
  </r>
  <r>
    <n v="41"/>
    <x v="0"/>
    <x v="1"/>
    <m/>
    <m/>
    <s v="Travel_Rarely"/>
    <n v="918"/>
    <x v="0"/>
    <n v="6"/>
    <n v="3"/>
    <x v="3"/>
    <n v="1"/>
    <n v="1708"/>
    <m/>
    <n v="4"/>
    <x v="2"/>
    <x v="0"/>
    <x v="2"/>
    <n v="9241"/>
    <x v="1"/>
    <s v="Jan"/>
  </r>
  <r>
    <n v="29"/>
    <x v="2"/>
    <x v="1"/>
    <m/>
    <m/>
    <s v="Travel_Rarely"/>
    <n v="1082"/>
    <x v="1"/>
    <n v="9"/>
    <n v="4"/>
    <x v="2"/>
    <n v="1"/>
    <n v="1709"/>
    <m/>
    <n v="4"/>
    <x v="1"/>
    <x v="2"/>
    <x v="2"/>
    <n v="2974"/>
    <x v="1"/>
    <s v="Jan"/>
  </r>
  <r>
    <n v="36"/>
    <x v="0"/>
    <x v="1"/>
    <m/>
    <m/>
    <s v="Travel_Rarely"/>
    <n v="530"/>
    <x v="0"/>
    <n v="2"/>
    <n v="4"/>
    <x v="0"/>
    <n v="1"/>
    <n v="1710"/>
    <m/>
    <n v="3"/>
    <x v="0"/>
    <x v="6"/>
    <x v="0"/>
    <n v="4502"/>
    <x v="1"/>
    <s v="Jan"/>
  </r>
  <r>
    <n v="45"/>
    <x v="1"/>
    <x v="1"/>
    <m/>
    <m/>
    <s v="Non-Travel"/>
    <n v="1238"/>
    <x v="1"/>
    <n v="1"/>
    <n v="1"/>
    <x v="0"/>
    <n v="1"/>
    <n v="1712"/>
    <m/>
    <n v="3"/>
    <x v="2"/>
    <x v="4"/>
    <x v="2"/>
    <n v="10748"/>
    <x v="1"/>
    <s v="Jan"/>
  </r>
  <r>
    <n v="24"/>
    <x v="4"/>
    <x v="0"/>
    <m/>
    <m/>
    <s v="Travel_Rarely"/>
    <n v="240"/>
    <x v="2"/>
    <n v="22"/>
    <n v="1"/>
    <x v="5"/>
    <n v="1"/>
    <n v="1714"/>
    <m/>
    <n v="4"/>
    <x v="1"/>
    <x v="8"/>
    <x v="2"/>
    <n v="1555"/>
    <x v="1"/>
    <s v="Jan"/>
  </r>
  <r>
    <n v="47"/>
    <x v="1"/>
    <x v="0"/>
    <m/>
    <m/>
    <s v="Travel_Frequently"/>
    <n v="1093"/>
    <x v="0"/>
    <n v="9"/>
    <n v="3"/>
    <x v="0"/>
    <n v="1"/>
    <n v="1716"/>
    <m/>
    <n v="3"/>
    <x v="3"/>
    <x v="0"/>
    <x v="2"/>
    <n v="12936"/>
    <x v="1"/>
    <s v="Jan"/>
  </r>
  <r>
    <n v="26"/>
    <x v="2"/>
    <x v="1"/>
    <m/>
    <m/>
    <s v="Travel_Rarely"/>
    <n v="390"/>
    <x v="1"/>
    <n v="17"/>
    <n v="4"/>
    <x v="2"/>
    <n v="1"/>
    <n v="1718"/>
    <m/>
    <n v="4"/>
    <x v="1"/>
    <x v="2"/>
    <x v="2"/>
    <n v="2305"/>
    <x v="1"/>
    <s v="Jan"/>
  </r>
  <r>
    <n v="45"/>
    <x v="1"/>
    <x v="1"/>
    <m/>
    <m/>
    <s v="Travel_Rarely"/>
    <n v="1005"/>
    <x v="1"/>
    <n v="28"/>
    <n v="2"/>
    <x v="4"/>
    <n v="1"/>
    <n v="1719"/>
    <m/>
    <n v="4"/>
    <x v="3"/>
    <x v="7"/>
    <x v="1"/>
    <n v="16704"/>
    <x v="1"/>
    <s v="Jan"/>
  </r>
  <r>
    <n v="32"/>
    <x v="2"/>
    <x v="1"/>
    <m/>
    <m/>
    <s v="Travel_Frequently"/>
    <n v="585"/>
    <x v="1"/>
    <n v="10"/>
    <n v="3"/>
    <x v="0"/>
    <n v="1"/>
    <n v="1720"/>
    <m/>
    <n v="1"/>
    <x v="1"/>
    <x v="1"/>
    <x v="2"/>
    <n v="3433"/>
    <x v="1"/>
    <s v="Jan"/>
  </r>
  <r>
    <n v="31"/>
    <x v="2"/>
    <x v="1"/>
    <m/>
    <m/>
    <s v="Travel_Rarely"/>
    <n v="741"/>
    <x v="1"/>
    <n v="2"/>
    <n v="4"/>
    <x v="0"/>
    <n v="1"/>
    <n v="1721"/>
    <m/>
    <n v="2"/>
    <x v="1"/>
    <x v="2"/>
    <x v="2"/>
    <n v="3477"/>
    <x v="1"/>
    <s v="Jan"/>
  </r>
  <r>
    <n v="41"/>
    <x v="0"/>
    <x v="1"/>
    <m/>
    <m/>
    <s v="Non-Travel"/>
    <n v="552"/>
    <x v="2"/>
    <n v="4"/>
    <n v="3"/>
    <x v="5"/>
    <n v="1"/>
    <n v="1722"/>
    <m/>
    <n v="3"/>
    <x v="0"/>
    <x v="8"/>
    <x v="1"/>
    <n v="6430"/>
    <x v="1"/>
    <s v="Jan"/>
  </r>
  <r>
    <n v="40"/>
    <x v="0"/>
    <x v="1"/>
    <m/>
    <m/>
    <s v="Travel_Rarely"/>
    <n v="369"/>
    <x v="1"/>
    <n v="8"/>
    <n v="2"/>
    <x v="0"/>
    <n v="1"/>
    <n v="1724"/>
    <m/>
    <n v="2"/>
    <x v="0"/>
    <x v="3"/>
    <x v="3"/>
    <n v="6516"/>
    <x v="0"/>
    <s v="Jan"/>
  </r>
  <r>
    <n v="24"/>
    <x v="4"/>
    <x v="1"/>
    <m/>
    <m/>
    <s v="Travel_Rarely"/>
    <n v="506"/>
    <x v="1"/>
    <n v="29"/>
    <n v="1"/>
    <x v="2"/>
    <n v="1"/>
    <n v="1725"/>
    <m/>
    <n v="2"/>
    <x v="1"/>
    <x v="2"/>
    <x v="3"/>
    <n v="3907"/>
    <x v="1"/>
    <s v="Jan"/>
  </r>
  <r>
    <n v="46"/>
    <x v="1"/>
    <x v="1"/>
    <m/>
    <m/>
    <s v="Travel_Rarely"/>
    <n v="717"/>
    <x v="1"/>
    <n v="13"/>
    <n v="4"/>
    <x v="0"/>
    <n v="1"/>
    <n v="1727"/>
    <m/>
    <n v="3"/>
    <x v="0"/>
    <x v="4"/>
    <x v="1"/>
    <n v="5562"/>
    <x v="1"/>
    <s v="Jan"/>
  </r>
  <r>
    <n v="35"/>
    <x v="0"/>
    <x v="1"/>
    <m/>
    <m/>
    <s v="Travel_Rarely"/>
    <n v="1370"/>
    <x v="1"/>
    <n v="27"/>
    <n v="4"/>
    <x v="0"/>
    <n v="1"/>
    <n v="1728"/>
    <m/>
    <n v="4"/>
    <x v="0"/>
    <x v="3"/>
    <x v="2"/>
    <n v="6883"/>
    <x v="1"/>
    <s v="Jan"/>
  </r>
  <r>
    <n v="30"/>
    <x v="2"/>
    <x v="1"/>
    <m/>
    <m/>
    <s v="Travel_Rarely"/>
    <n v="793"/>
    <x v="1"/>
    <n v="16"/>
    <n v="1"/>
    <x v="0"/>
    <n v="1"/>
    <n v="1729"/>
    <m/>
    <n v="2"/>
    <x v="1"/>
    <x v="1"/>
    <x v="0"/>
    <n v="2862"/>
    <x v="1"/>
    <s v="Jan"/>
  </r>
  <r>
    <n v="47"/>
    <x v="1"/>
    <x v="1"/>
    <m/>
    <m/>
    <s v="Non-Travel"/>
    <n v="543"/>
    <x v="0"/>
    <n v="2"/>
    <n v="4"/>
    <x v="3"/>
    <n v="1"/>
    <n v="1731"/>
    <m/>
    <n v="3"/>
    <x v="0"/>
    <x v="0"/>
    <x v="1"/>
    <n v="4978"/>
    <x v="1"/>
    <s v="Jan"/>
  </r>
  <r>
    <n v="46"/>
    <x v="1"/>
    <x v="1"/>
    <m/>
    <m/>
    <s v="Travel_Rarely"/>
    <n v="1277"/>
    <x v="0"/>
    <n v="2"/>
    <n v="3"/>
    <x v="0"/>
    <n v="1"/>
    <n v="1732"/>
    <m/>
    <n v="3"/>
    <x v="2"/>
    <x v="0"/>
    <x v="0"/>
    <n v="10368"/>
    <x v="0"/>
    <s v="Jan"/>
  </r>
  <r>
    <n v="36"/>
    <x v="0"/>
    <x v="0"/>
    <m/>
    <m/>
    <s v="Travel_Rarely"/>
    <n v="1456"/>
    <x v="0"/>
    <n v="13"/>
    <n v="5"/>
    <x v="3"/>
    <n v="1"/>
    <n v="1733"/>
    <m/>
    <n v="2"/>
    <x v="0"/>
    <x v="0"/>
    <x v="3"/>
    <n v="6134"/>
    <x v="0"/>
    <s v="Jan"/>
  </r>
  <r>
    <n v="32"/>
    <x v="2"/>
    <x v="0"/>
    <m/>
    <m/>
    <s v="Travel_Rarely"/>
    <n v="964"/>
    <x v="0"/>
    <n v="1"/>
    <n v="2"/>
    <x v="0"/>
    <n v="1"/>
    <n v="1734"/>
    <m/>
    <n v="1"/>
    <x v="0"/>
    <x v="0"/>
    <x v="1"/>
    <n v="6735"/>
    <x v="1"/>
    <s v="Jan"/>
  </r>
  <r>
    <n v="23"/>
    <x v="4"/>
    <x v="1"/>
    <m/>
    <m/>
    <s v="Travel_Rarely"/>
    <n v="160"/>
    <x v="1"/>
    <n v="4"/>
    <n v="1"/>
    <x v="2"/>
    <n v="1"/>
    <n v="1735"/>
    <m/>
    <n v="3"/>
    <x v="1"/>
    <x v="2"/>
    <x v="1"/>
    <n v="3295"/>
    <x v="1"/>
    <s v="Jan"/>
  </r>
  <r>
    <n v="31"/>
    <x v="2"/>
    <x v="1"/>
    <m/>
    <m/>
    <s v="Travel_Frequently"/>
    <n v="163"/>
    <x v="1"/>
    <n v="24"/>
    <n v="1"/>
    <x v="4"/>
    <n v="1"/>
    <n v="1736"/>
    <m/>
    <n v="4"/>
    <x v="0"/>
    <x v="3"/>
    <x v="0"/>
    <n v="5238"/>
    <x v="1"/>
    <s v="Jan"/>
  </r>
  <r>
    <n v="39"/>
    <x v="0"/>
    <x v="1"/>
    <m/>
    <m/>
    <s v="Non-Travel"/>
    <n v="792"/>
    <x v="1"/>
    <n v="1"/>
    <n v="3"/>
    <x v="0"/>
    <n v="1"/>
    <n v="1737"/>
    <m/>
    <n v="4"/>
    <x v="0"/>
    <x v="2"/>
    <x v="0"/>
    <n v="6472"/>
    <x v="0"/>
    <s v="Jan"/>
  </r>
  <r>
    <n v="32"/>
    <x v="2"/>
    <x v="1"/>
    <m/>
    <m/>
    <s v="Travel_Rarely"/>
    <n v="371"/>
    <x v="0"/>
    <n v="19"/>
    <n v="3"/>
    <x v="0"/>
    <n v="1"/>
    <n v="1739"/>
    <m/>
    <n v="4"/>
    <x v="2"/>
    <x v="0"/>
    <x v="2"/>
    <n v="9610"/>
    <x v="1"/>
    <s v="Jan"/>
  </r>
  <r>
    <n v="40"/>
    <x v="0"/>
    <x v="1"/>
    <m/>
    <m/>
    <s v="Travel_Rarely"/>
    <n v="611"/>
    <x v="0"/>
    <n v="7"/>
    <n v="4"/>
    <x v="2"/>
    <n v="1"/>
    <n v="1740"/>
    <m/>
    <n v="2"/>
    <x v="4"/>
    <x v="5"/>
    <x v="1"/>
    <n v="19833"/>
    <x v="1"/>
    <s v="Jan"/>
  </r>
  <r>
    <n v="45"/>
    <x v="1"/>
    <x v="1"/>
    <m/>
    <m/>
    <s v="Travel_Rarely"/>
    <n v="176"/>
    <x v="2"/>
    <n v="4"/>
    <n v="3"/>
    <x v="0"/>
    <n v="1"/>
    <n v="1744"/>
    <m/>
    <n v="3"/>
    <x v="2"/>
    <x v="8"/>
    <x v="2"/>
    <n v="9756"/>
    <x v="1"/>
    <s v="Jan"/>
  </r>
  <r>
    <n v="30"/>
    <x v="2"/>
    <x v="1"/>
    <m/>
    <m/>
    <s v="Travel_Frequently"/>
    <n v="1312"/>
    <x v="1"/>
    <n v="2"/>
    <n v="4"/>
    <x v="4"/>
    <n v="1"/>
    <n v="1745"/>
    <m/>
    <n v="4"/>
    <x v="1"/>
    <x v="1"/>
    <x v="3"/>
    <n v="4968"/>
    <x v="1"/>
    <s v="Jan"/>
  </r>
  <r>
    <n v="24"/>
    <x v="4"/>
    <x v="1"/>
    <m/>
    <m/>
    <s v="Travel_Frequently"/>
    <n v="897"/>
    <x v="2"/>
    <n v="10"/>
    <n v="3"/>
    <x v="2"/>
    <n v="1"/>
    <n v="1746"/>
    <m/>
    <n v="1"/>
    <x v="1"/>
    <x v="8"/>
    <x v="0"/>
    <n v="2145"/>
    <x v="1"/>
    <s v="Jan"/>
  </r>
  <r>
    <n v="30"/>
    <x v="2"/>
    <x v="0"/>
    <m/>
    <m/>
    <s v="Travel_Frequently"/>
    <n v="600"/>
    <x v="2"/>
    <n v="8"/>
    <n v="3"/>
    <x v="5"/>
    <n v="1"/>
    <n v="1747"/>
    <m/>
    <n v="3"/>
    <x v="1"/>
    <x v="8"/>
    <x v="0"/>
    <n v="2180"/>
    <x v="1"/>
    <s v="Jan"/>
  </r>
  <r>
    <n v="31"/>
    <x v="2"/>
    <x v="1"/>
    <m/>
    <m/>
    <s v="Travel_Rarely"/>
    <n v="1003"/>
    <x v="0"/>
    <n v="5"/>
    <n v="3"/>
    <x v="4"/>
    <n v="1"/>
    <n v="1749"/>
    <m/>
    <n v="1"/>
    <x v="0"/>
    <x v="0"/>
    <x v="2"/>
    <n v="8346"/>
    <x v="1"/>
    <s v="Jan"/>
  </r>
  <r>
    <n v="27"/>
    <x v="2"/>
    <x v="1"/>
    <m/>
    <m/>
    <s v="Travel_Rarely"/>
    <n v="1054"/>
    <x v="1"/>
    <n v="8"/>
    <n v="3"/>
    <x v="2"/>
    <n v="1"/>
    <n v="1751"/>
    <m/>
    <n v="3"/>
    <x v="1"/>
    <x v="1"/>
    <x v="0"/>
    <n v="3445"/>
    <x v="1"/>
    <s v="Jan"/>
  </r>
  <r>
    <n v="29"/>
    <x v="2"/>
    <x v="0"/>
    <m/>
    <m/>
    <s v="Travel_Rarely"/>
    <n v="428"/>
    <x v="0"/>
    <n v="9"/>
    <n v="3"/>
    <x v="3"/>
    <n v="1"/>
    <n v="1752"/>
    <m/>
    <n v="2"/>
    <x v="1"/>
    <x v="6"/>
    <x v="1"/>
    <n v="2760"/>
    <x v="1"/>
    <s v="Jan"/>
  </r>
  <r>
    <n v="29"/>
    <x v="2"/>
    <x v="1"/>
    <m/>
    <m/>
    <s v="Travel_Frequently"/>
    <n v="461"/>
    <x v="1"/>
    <n v="1"/>
    <n v="3"/>
    <x v="0"/>
    <n v="1"/>
    <n v="1753"/>
    <m/>
    <n v="4"/>
    <x v="0"/>
    <x v="4"/>
    <x v="2"/>
    <n v="6294"/>
    <x v="0"/>
    <s v="Jan"/>
  </r>
  <r>
    <n v="30"/>
    <x v="2"/>
    <x v="1"/>
    <m/>
    <m/>
    <s v="Travel_Rarely"/>
    <n v="979"/>
    <x v="0"/>
    <n v="15"/>
    <n v="2"/>
    <x v="3"/>
    <n v="1"/>
    <n v="1754"/>
    <m/>
    <n v="3"/>
    <x v="2"/>
    <x v="0"/>
    <x v="3"/>
    <n v="7140"/>
    <x v="1"/>
    <s v="Jan"/>
  </r>
  <r>
    <n v="34"/>
    <x v="2"/>
    <x v="1"/>
    <m/>
    <m/>
    <s v="Travel_Rarely"/>
    <n v="181"/>
    <x v="1"/>
    <n v="2"/>
    <n v="4"/>
    <x v="2"/>
    <n v="1"/>
    <n v="1755"/>
    <m/>
    <n v="4"/>
    <x v="1"/>
    <x v="1"/>
    <x v="0"/>
    <n v="2932"/>
    <x v="0"/>
    <s v="Jan"/>
  </r>
  <r>
    <n v="33"/>
    <x v="2"/>
    <x v="1"/>
    <m/>
    <m/>
    <s v="Non-Travel"/>
    <n v="1283"/>
    <x v="0"/>
    <n v="2"/>
    <n v="3"/>
    <x v="3"/>
    <n v="1"/>
    <n v="1756"/>
    <m/>
    <n v="4"/>
    <x v="0"/>
    <x v="0"/>
    <x v="1"/>
    <n v="5147"/>
    <x v="1"/>
    <s v="Jan"/>
  </r>
  <r>
    <n v="49"/>
    <x v="1"/>
    <x v="1"/>
    <m/>
    <m/>
    <s v="Travel_Rarely"/>
    <n v="1313"/>
    <x v="0"/>
    <n v="11"/>
    <n v="4"/>
    <x v="3"/>
    <n v="1"/>
    <n v="1757"/>
    <m/>
    <n v="4"/>
    <x v="0"/>
    <x v="0"/>
    <x v="0"/>
    <n v="4507"/>
    <x v="1"/>
    <s v="Jan"/>
  </r>
  <r>
    <n v="33"/>
    <x v="2"/>
    <x v="0"/>
    <m/>
    <m/>
    <s v="Travel_Rarely"/>
    <n v="211"/>
    <x v="0"/>
    <n v="16"/>
    <n v="3"/>
    <x v="0"/>
    <n v="1"/>
    <n v="1758"/>
    <m/>
    <n v="1"/>
    <x v="2"/>
    <x v="0"/>
    <x v="3"/>
    <n v="8564"/>
    <x v="0"/>
    <s v="Jan"/>
  </r>
  <r>
    <n v="38"/>
    <x v="0"/>
    <x v="1"/>
    <m/>
    <m/>
    <s v="Travel_Frequently"/>
    <n v="594"/>
    <x v="1"/>
    <n v="2"/>
    <n v="2"/>
    <x v="2"/>
    <n v="1"/>
    <n v="1760"/>
    <m/>
    <n v="3"/>
    <x v="1"/>
    <x v="2"/>
    <x v="1"/>
    <n v="2468"/>
    <x v="1"/>
    <s v="Jan"/>
  </r>
  <r>
    <n v="31"/>
    <x v="2"/>
    <x v="0"/>
    <m/>
    <m/>
    <s v="Travel_Rarely"/>
    <n v="1079"/>
    <x v="0"/>
    <n v="16"/>
    <n v="4"/>
    <x v="3"/>
    <n v="1"/>
    <n v="1761"/>
    <m/>
    <n v="1"/>
    <x v="2"/>
    <x v="0"/>
    <x v="2"/>
    <n v="8161"/>
    <x v="1"/>
    <s v="Jan"/>
  </r>
  <r>
    <n v="29"/>
    <x v="2"/>
    <x v="1"/>
    <m/>
    <m/>
    <s v="Travel_Rarely"/>
    <n v="590"/>
    <x v="1"/>
    <n v="4"/>
    <n v="3"/>
    <x v="4"/>
    <n v="1"/>
    <n v="1762"/>
    <m/>
    <n v="4"/>
    <x v="1"/>
    <x v="1"/>
    <x v="3"/>
    <n v="2109"/>
    <x v="1"/>
    <s v="Jan"/>
  </r>
  <r>
    <n v="30"/>
    <x v="2"/>
    <x v="1"/>
    <m/>
    <m/>
    <s v="Travel_Rarely"/>
    <n v="305"/>
    <x v="1"/>
    <n v="16"/>
    <n v="3"/>
    <x v="0"/>
    <n v="1"/>
    <n v="1763"/>
    <m/>
    <n v="3"/>
    <x v="0"/>
    <x v="4"/>
    <x v="2"/>
    <n v="5294"/>
    <x v="1"/>
    <s v="Jan"/>
  </r>
  <r>
    <n v="32"/>
    <x v="2"/>
    <x v="1"/>
    <m/>
    <m/>
    <s v="Non-Travel"/>
    <n v="953"/>
    <x v="1"/>
    <n v="5"/>
    <n v="4"/>
    <x v="4"/>
    <n v="1"/>
    <n v="1764"/>
    <m/>
    <n v="2"/>
    <x v="1"/>
    <x v="1"/>
    <x v="1"/>
    <n v="2718"/>
    <x v="1"/>
    <s v="Jan"/>
  </r>
  <r>
    <n v="38"/>
    <x v="0"/>
    <x v="1"/>
    <m/>
    <m/>
    <s v="Travel_Rarely"/>
    <n v="833"/>
    <x v="1"/>
    <n v="18"/>
    <n v="3"/>
    <x v="2"/>
    <n v="1"/>
    <n v="1766"/>
    <m/>
    <n v="2"/>
    <x v="0"/>
    <x v="4"/>
    <x v="0"/>
    <n v="5811"/>
    <x v="0"/>
    <s v="Jan"/>
  </r>
  <r>
    <n v="43"/>
    <x v="0"/>
    <x v="0"/>
    <m/>
    <m/>
    <s v="Travel_Frequently"/>
    <n v="807"/>
    <x v="1"/>
    <n v="17"/>
    <n v="3"/>
    <x v="4"/>
    <n v="1"/>
    <n v="1767"/>
    <m/>
    <n v="3"/>
    <x v="1"/>
    <x v="1"/>
    <x v="2"/>
    <n v="2437"/>
    <x v="0"/>
    <s v="Jan"/>
  </r>
  <r>
    <n v="42"/>
    <x v="0"/>
    <x v="1"/>
    <m/>
    <m/>
    <s v="Travel_Rarely"/>
    <n v="855"/>
    <x v="1"/>
    <n v="12"/>
    <n v="3"/>
    <x v="2"/>
    <n v="1"/>
    <n v="1768"/>
    <m/>
    <n v="2"/>
    <x v="1"/>
    <x v="2"/>
    <x v="1"/>
    <n v="2766"/>
    <x v="1"/>
    <s v="Jan"/>
  </r>
  <r>
    <n v="55"/>
    <x v="3"/>
    <x v="1"/>
    <m/>
    <m/>
    <s v="Travel_Rarely"/>
    <n v="478"/>
    <x v="1"/>
    <n v="2"/>
    <n v="3"/>
    <x v="2"/>
    <n v="1"/>
    <n v="1770"/>
    <m/>
    <n v="3"/>
    <x v="4"/>
    <x v="7"/>
    <x v="3"/>
    <n v="19038"/>
    <x v="1"/>
    <s v="Jan"/>
  </r>
  <r>
    <n v="33"/>
    <x v="2"/>
    <x v="1"/>
    <m/>
    <m/>
    <s v="Non-Travel"/>
    <n v="775"/>
    <x v="1"/>
    <n v="4"/>
    <n v="3"/>
    <x v="4"/>
    <n v="1"/>
    <n v="1771"/>
    <m/>
    <n v="4"/>
    <x v="0"/>
    <x v="1"/>
    <x v="1"/>
    <n v="3055"/>
    <x v="1"/>
    <s v="Jan"/>
  </r>
  <r>
    <n v="41"/>
    <x v="0"/>
    <x v="1"/>
    <m/>
    <m/>
    <s v="Travel_Rarely"/>
    <n v="548"/>
    <x v="1"/>
    <n v="9"/>
    <n v="4"/>
    <x v="0"/>
    <n v="1"/>
    <n v="1772"/>
    <m/>
    <n v="3"/>
    <x v="1"/>
    <x v="2"/>
    <x v="3"/>
    <n v="2289"/>
    <x v="1"/>
    <s v="Jan"/>
  </r>
  <r>
    <n v="34"/>
    <x v="2"/>
    <x v="1"/>
    <m/>
    <m/>
    <s v="Non-Travel"/>
    <n v="1375"/>
    <x v="0"/>
    <n v="10"/>
    <n v="3"/>
    <x v="0"/>
    <n v="1"/>
    <n v="1774"/>
    <m/>
    <n v="4"/>
    <x v="0"/>
    <x v="0"/>
    <x v="2"/>
    <n v="4001"/>
    <x v="0"/>
    <s v="Jan"/>
  </r>
  <r>
    <n v="53"/>
    <x v="1"/>
    <x v="1"/>
    <m/>
    <m/>
    <s v="Non-Travel"/>
    <n v="661"/>
    <x v="1"/>
    <n v="1"/>
    <n v="4"/>
    <x v="2"/>
    <n v="1"/>
    <n v="1775"/>
    <m/>
    <n v="1"/>
    <x v="3"/>
    <x v="3"/>
    <x v="2"/>
    <n v="12965"/>
    <x v="0"/>
    <s v="Jan"/>
  </r>
  <r>
    <n v="43"/>
    <x v="0"/>
    <x v="1"/>
    <m/>
    <m/>
    <s v="Travel_Rarely"/>
    <n v="244"/>
    <x v="2"/>
    <n v="2"/>
    <n v="3"/>
    <x v="0"/>
    <n v="1"/>
    <n v="1778"/>
    <m/>
    <n v="2"/>
    <x v="1"/>
    <x v="8"/>
    <x v="0"/>
    <n v="3539"/>
    <x v="1"/>
    <s v="Jan"/>
  </r>
  <r>
    <n v="34"/>
    <x v="2"/>
    <x v="1"/>
    <m/>
    <m/>
    <s v="Travel_Rarely"/>
    <n v="511"/>
    <x v="0"/>
    <n v="3"/>
    <n v="2"/>
    <x v="0"/>
    <n v="1"/>
    <n v="1779"/>
    <m/>
    <n v="4"/>
    <x v="0"/>
    <x v="0"/>
    <x v="0"/>
    <n v="6029"/>
    <x v="1"/>
    <s v="Jan"/>
  </r>
  <r>
    <n v="21"/>
    <x v="4"/>
    <x v="0"/>
    <m/>
    <m/>
    <s v="Travel_Rarely"/>
    <n v="337"/>
    <x v="0"/>
    <n v="7"/>
    <n v="1"/>
    <x v="3"/>
    <n v="1"/>
    <n v="1780"/>
    <m/>
    <n v="2"/>
    <x v="1"/>
    <x v="6"/>
    <x v="1"/>
    <n v="2679"/>
    <x v="1"/>
    <s v="Jan"/>
  </r>
  <r>
    <n v="38"/>
    <x v="0"/>
    <x v="1"/>
    <m/>
    <m/>
    <s v="Travel_Rarely"/>
    <n v="1153"/>
    <x v="1"/>
    <n v="6"/>
    <n v="2"/>
    <x v="1"/>
    <n v="1"/>
    <n v="1782"/>
    <m/>
    <n v="4"/>
    <x v="1"/>
    <x v="2"/>
    <x v="2"/>
    <n v="3702"/>
    <x v="1"/>
    <s v="Jan"/>
  </r>
  <r>
    <n v="22"/>
    <x v="4"/>
    <x v="0"/>
    <m/>
    <m/>
    <s v="Travel_Rarely"/>
    <n v="1294"/>
    <x v="1"/>
    <n v="8"/>
    <n v="1"/>
    <x v="2"/>
    <n v="1"/>
    <n v="1783"/>
    <m/>
    <n v="3"/>
    <x v="1"/>
    <x v="2"/>
    <x v="3"/>
    <n v="2398"/>
    <x v="0"/>
    <s v="Jan"/>
  </r>
  <r>
    <n v="31"/>
    <x v="2"/>
    <x v="1"/>
    <m/>
    <m/>
    <s v="Travel_Rarely"/>
    <n v="196"/>
    <x v="0"/>
    <n v="29"/>
    <n v="4"/>
    <x v="3"/>
    <n v="1"/>
    <n v="1784"/>
    <m/>
    <n v="1"/>
    <x v="0"/>
    <x v="0"/>
    <x v="0"/>
    <n v="5468"/>
    <x v="1"/>
    <s v="Jan"/>
  </r>
  <r>
    <n v="51"/>
    <x v="1"/>
    <x v="1"/>
    <m/>
    <m/>
    <s v="Travel_Rarely"/>
    <n v="942"/>
    <x v="1"/>
    <n v="3"/>
    <n v="3"/>
    <x v="4"/>
    <n v="1"/>
    <n v="1786"/>
    <m/>
    <n v="1"/>
    <x v="2"/>
    <x v="5"/>
    <x v="2"/>
    <n v="13116"/>
    <x v="1"/>
    <s v="Jan"/>
  </r>
  <r>
    <n v="37"/>
    <x v="0"/>
    <x v="1"/>
    <m/>
    <m/>
    <s v="Travel_Rarely"/>
    <n v="589"/>
    <x v="0"/>
    <n v="9"/>
    <n v="2"/>
    <x v="3"/>
    <n v="1"/>
    <n v="1787"/>
    <m/>
    <n v="2"/>
    <x v="0"/>
    <x v="0"/>
    <x v="1"/>
    <n v="4189"/>
    <x v="1"/>
    <s v="Jan"/>
  </r>
  <r>
    <n v="46"/>
    <x v="1"/>
    <x v="1"/>
    <m/>
    <m/>
    <s v="Travel_Rarely"/>
    <n v="734"/>
    <x v="1"/>
    <n v="2"/>
    <n v="4"/>
    <x v="2"/>
    <n v="1"/>
    <n v="1789"/>
    <m/>
    <n v="3"/>
    <x v="4"/>
    <x v="7"/>
    <x v="0"/>
    <n v="19328"/>
    <x v="0"/>
    <s v="Jan"/>
  </r>
  <r>
    <n v="36"/>
    <x v="0"/>
    <x v="1"/>
    <m/>
    <m/>
    <s v="Travel_Rarely"/>
    <n v="1383"/>
    <x v="1"/>
    <n v="10"/>
    <n v="3"/>
    <x v="0"/>
    <n v="1"/>
    <n v="1790"/>
    <m/>
    <n v="4"/>
    <x v="2"/>
    <x v="4"/>
    <x v="3"/>
    <n v="8321"/>
    <x v="0"/>
    <s v="Jan"/>
  </r>
  <r>
    <n v="44"/>
    <x v="0"/>
    <x v="0"/>
    <m/>
    <m/>
    <s v="Travel_Frequently"/>
    <n v="429"/>
    <x v="1"/>
    <n v="1"/>
    <n v="2"/>
    <x v="2"/>
    <n v="1"/>
    <n v="1792"/>
    <m/>
    <n v="3"/>
    <x v="1"/>
    <x v="1"/>
    <x v="1"/>
    <n v="2342"/>
    <x v="0"/>
    <s v="Jan"/>
  </r>
  <r>
    <n v="37"/>
    <x v="0"/>
    <x v="1"/>
    <m/>
    <m/>
    <s v="Travel_Rarely"/>
    <n v="1239"/>
    <x v="2"/>
    <n v="8"/>
    <n v="2"/>
    <x v="1"/>
    <n v="1"/>
    <n v="1794"/>
    <m/>
    <n v="3"/>
    <x v="0"/>
    <x v="8"/>
    <x v="1"/>
    <n v="4071"/>
    <x v="1"/>
    <s v="Jan"/>
  </r>
  <r>
    <n v="35"/>
    <x v="0"/>
    <x v="0"/>
    <m/>
    <m/>
    <s v="Travel_Rarely"/>
    <n v="303"/>
    <x v="0"/>
    <n v="27"/>
    <n v="3"/>
    <x v="0"/>
    <n v="1"/>
    <n v="1797"/>
    <m/>
    <n v="3"/>
    <x v="0"/>
    <x v="0"/>
    <x v="0"/>
    <n v="5813"/>
    <x v="0"/>
    <s v="Jan"/>
  </r>
  <r>
    <n v="33"/>
    <x v="2"/>
    <x v="1"/>
    <m/>
    <m/>
    <s v="Travel_Rarely"/>
    <n v="867"/>
    <x v="1"/>
    <n v="8"/>
    <n v="4"/>
    <x v="0"/>
    <n v="1"/>
    <n v="1798"/>
    <m/>
    <n v="4"/>
    <x v="1"/>
    <x v="1"/>
    <x v="3"/>
    <n v="3143"/>
    <x v="1"/>
    <s v="Jan"/>
  </r>
  <r>
    <n v="28"/>
    <x v="2"/>
    <x v="1"/>
    <m/>
    <m/>
    <s v="Travel_Rarely"/>
    <n v="1181"/>
    <x v="1"/>
    <n v="1"/>
    <n v="3"/>
    <x v="0"/>
    <n v="1"/>
    <n v="1799"/>
    <m/>
    <n v="3"/>
    <x v="1"/>
    <x v="1"/>
    <x v="0"/>
    <n v="2044"/>
    <x v="1"/>
    <s v="Jan"/>
  </r>
  <r>
    <n v="39"/>
    <x v="0"/>
    <x v="1"/>
    <m/>
    <m/>
    <s v="Travel_Rarely"/>
    <n v="1253"/>
    <x v="1"/>
    <n v="10"/>
    <n v="1"/>
    <x v="2"/>
    <n v="1"/>
    <n v="1800"/>
    <m/>
    <n v="3"/>
    <x v="2"/>
    <x v="7"/>
    <x v="2"/>
    <n v="13464"/>
    <x v="1"/>
    <s v="Jan"/>
  </r>
  <r>
    <n v="46"/>
    <x v="1"/>
    <x v="1"/>
    <m/>
    <m/>
    <s v="Non-Travel"/>
    <n v="849"/>
    <x v="0"/>
    <n v="26"/>
    <n v="2"/>
    <x v="0"/>
    <n v="1"/>
    <n v="1801"/>
    <m/>
    <n v="2"/>
    <x v="0"/>
    <x v="0"/>
    <x v="1"/>
    <n v="7991"/>
    <x v="1"/>
    <s v="Jan"/>
  </r>
  <r>
    <n v="40"/>
    <x v="0"/>
    <x v="1"/>
    <m/>
    <m/>
    <s v="Travel_Rarely"/>
    <n v="616"/>
    <x v="1"/>
    <n v="2"/>
    <n v="2"/>
    <x v="0"/>
    <n v="1"/>
    <n v="1802"/>
    <m/>
    <n v="3"/>
    <x v="1"/>
    <x v="2"/>
    <x v="3"/>
    <n v="3377"/>
    <x v="1"/>
    <s v="Jan"/>
  </r>
  <r>
    <n v="42"/>
    <x v="0"/>
    <x v="1"/>
    <m/>
    <m/>
    <s v="Travel_Rarely"/>
    <n v="1128"/>
    <x v="1"/>
    <n v="13"/>
    <n v="3"/>
    <x v="2"/>
    <n v="1"/>
    <n v="1803"/>
    <m/>
    <n v="2"/>
    <x v="0"/>
    <x v="4"/>
    <x v="3"/>
    <n v="5538"/>
    <x v="1"/>
    <s v="Jan"/>
  </r>
  <r>
    <n v="35"/>
    <x v="0"/>
    <x v="1"/>
    <m/>
    <m/>
    <s v="Non-Travel"/>
    <n v="1180"/>
    <x v="1"/>
    <n v="2"/>
    <n v="2"/>
    <x v="2"/>
    <n v="1"/>
    <n v="1804"/>
    <m/>
    <n v="2"/>
    <x v="0"/>
    <x v="3"/>
    <x v="0"/>
    <n v="5762"/>
    <x v="1"/>
    <s v="Jan"/>
  </r>
  <r>
    <n v="38"/>
    <x v="0"/>
    <x v="1"/>
    <m/>
    <m/>
    <s v="Non-Travel"/>
    <n v="1336"/>
    <x v="2"/>
    <n v="2"/>
    <n v="3"/>
    <x v="5"/>
    <n v="1"/>
    <n v="1805"/>
    <m/>
    <n v="1"/>
    <x v="1"/>
    <x v="8"/>
    <x v="1"/>
    <n v="2592"/>
    <x v="1"/>
    <s v="Jan"/>
  </r>
  <r>
    <n v="34"/>
    <x v="2"/>
    <x v="0"/>
    <m/>
    <m/>
    <s v="Travel_Frequently"/>
    <n v="234"/>
    <x v="1"/>
    <n v="9"/>
    <n v="4"/>
    <x v="0"/>
    <n v="1"/>
    <n v="1807"/>
    <m/>
    <n v="4"/>
    <x v="0"/>
    <x v="2"/>
    <x v="3"/>
    <n v="5346"/>
    <x v="1"/>
    <s v="Jan"/>
  </r>
  <r>
    <n v="37"/>
    <x v="0"/>
    <x v="0"/>
    <m/>
    <m/>
    <s v="Travel_Rarely"/>
    <n v="370"/>
    <x v="1"/>
    <n v="10"/>
    <n v="4"/>
    <x v="2"/>
    <n v="1"/>
    <n v="1809"/>
    <m/>
    <n v="4"/>
    <x v="0"/>
    <x v="3"/>
    <x v="3"/>
    <n v="4213"/>
    <x v="1"/>
    <s v="Jan"/>
  </r>
  <r>
    <n v="39"/>
    <x v="0"/>
    <x v="1"/>
    <m/>
    <m/>
    <s v="Travel_Frequently"/>
    <n v="766"/>
    <x v="0"/>
    <n v="20"/>
    <n v="3"/>
    <x v="0"/>
    <n v="1"/>
    <n v="1812"/>
    <m/>
    <n v="3"/>
    <x v="0"/>
    <x v="0"/>
    <x v="0"/>
    <n v="4127"/>
    <x v="1"/>
    <s v="Jan"/>
  </r>
  <r>
    <n v="43"/>
    <x v="0"/>
    <x v="1"/>
    <m/>
    <m/>
    <s v="Non-Travel"/>
    <n v="343"/>
    <x v="1"/>
    <n v="9"/>
    <n v="3"/>
    <x v="0"/>
    <n v="1"/>
    <n v="1813"/>
    <m/>
    <n v="1"/>
    <x v="1"/>
    <x v="1"/>
    <x v="2"/>
    <n v="2438"/>
    <x v="1"/>
    <s v="Jan"/>
  </r>
  <r>
    <n v="41"/>
    <x v="0"/>
    <x v="1"/>
    <m/>
    <m/>
    <s v="Travel_Rarely"/>
    <n v="447"/>
    <x v="1"/>
    <n v="5"/>
    <n v="3"/>
    <x v="0"/>
    <n v="1"/>
    <n v="1814"/>
    <m/>
    <n v="2"/>
    <x v="0"/>
    <x v="4"/>
    <x v="1"/>
    <n v="6870"/>
    <x v="1"/>
    <s v="Jan"/>
  </r>
  <r>
    <n v="41"/>
    <x v="0"/>
    <x v="1"/>
    <m/>
    <m/>
    <s v="Travel_Rarely"/>
    <n v="796"/>
    <x v="0"/>
    <n v="4"/>
    <n v="1"/>
    <x v="3"/>
    <n v="1"/>
    <n v="1815"/>
    <m/>
    <n v="3"/>
    <x v="2"/>
    <x v="0"/>
    <x v="2"/>
    <n v="10447"/>
    <x v="0"/>
    <s v="Jan"/>
  </r>
  <r>
    <n v="30"/>
    <x v="2"/>
    <x v="1"/>
    <m/>
    <m/>
    <s v="Travel_Rarely"/>
    <n v="1092"/>
    <x v="1"/>
    <n v="10"/>
    <n v="3"/>
    <x v="2"/>
    <n v="1"/>
    <n v="1816"/>
    <m/>
    <n v="1"/>
    <x v="2"/>
    <x v="3"/>
    <x v="2"/>
    <n v="9667"/>
    <x v="1"/>
    <s v="Jan"/>
  </r>
  <r>
    <n v="26"/>
    <x v="2"/>
    <x v="0"/>
    <m/>
    <m/>
    <s v="Travel_Rarely"/>
    <n v="920"/>
    <x v="2"/>
    <n v="20"/>
    <n v="2"/>
    <x v="2"/>
    <n v="1"/>
    <n v="1818"/>
    <m/>
    <n v="4"/>
    <x v="1"/>
    <x v="8"/>
    <x v="1"/>
    <n v="2148"/>
    <x v="0"/>
    <s v="Jan"/>
  </r>
  <r>
    <n v="46"/>
    <x v="1"/>
    <x v="0"/>
    <m/>
    <m/>
    <s v="Travel_Rarely"/>
    <n v="261"/>
    <x v="1"/>
    <n v="21"/>
    <n v="2"/>
    <x v="2"/>
    <n v="1"/>
    <n v="1821"/>
    <m/>
    <n v="4"/>
    <x v="0"/>
    <x v="4"/>
    <x v="1"/>
    <n v="8926"/>
    <x v="1"/>
    <s v="Jan"/>
  </r>
  <r>
    <n v="40"/>
    <x v="0"/>
    <x v="1"/>
    <m/>
    <m/>
    <s v="Travel_Rarely"/>
    <n v="1194"/>
    <x v="1"/>
    <n v="1"/>
    <n v="3"/>
    <x v="0"/>
    <n v="1"/>
    <n v="1822"/>
    <m/>
    <n v="3"/>
    <x v="0"/>
    <x v="4"/>
    <x v="0"/>
    <n v="6513"/>
    <x v="1"/>
    <s v="Jan"/>
  </r>
  <r>
    <n v="34"/>
    <x v="2"/>
    <x v="1"/>
    <m/>
    <m/>
    <s v="Travel_Rarely"/>
    <n v="810"/>
    <x v="0"/>
    <n v="8"/>
    <n v="2"/>
    <x v="4"/>
    <n v="1"/>
    <n v="1823"/>
    <m/>
    <n v="2"/>
    <x v="0"/>
    <x v="0"/>
    <x v="2"/>
    <n v="6799"/>
    <x v="1"/>
    <s v="Jan"/>
  </r>
  <r>
    <n v="58"/>
    <x v="3"/>
    <x v="1"/>
    <m/>
    <m/>
    <s v="Non-Travel"/>
    <n v="350"/>
    <x v="0"/>
    <n v="2"/>
    <n v="3"/>
    <x v="2"/>
    <n v="1"/>
    <n v="1824"/>
    <m/>
    <n v="2"/>
    <x v="3"/>
    <x v="5"/>
    <x v="1"/>
    <n v="16291"/>
    <x v="1"/>
    <s v="Jan"/>
  </r>
  <r>
    <n v="35"/>
    <x v="0"/>
    <x v="1"/>
    <m/>
    <m/>
    <s v="Travel_Rarely"/>
    <n v="185"/>
    <x v="1"/>
    <n v="23"/>
    <n v="4"/>
    <x v="2"/>
    <n v="1"/>
    <n v="1826"/>
    <m/>
    <n v="2"/>
    <x v="1"/>
    <x v="2"/>
    <x v="2"/>
    <n v="2705"/>
    <x v="1"/>
    <s v="Jan"/>
  </r>
  <r>
    <n v="47"/>
    <x v="1"/>
    <x v="1"/>
    <m/>
    <m/>
    <s v="Travel_Rarely"/>
    <n v="1001"/>
    <x v="1"/>
    <n v="4"/>
    <n v="3"/>
    <x v="0"/>
    <n v="1"/>
    <n v="1827"/>
    <m/>
    <n v="3"/>
    <x v="2"/>
    <x v="3"/>
    <x v="1"/>
    <n v="10333"/>
    <x v="0"/>
    <s v="Jan"/>
  </r>
  <r>
    <n v="40"/>
    <x v="0"/>
    <x v="1"/>
    <m/>
    <m/>
    <s v="Travel_Rarely"/>
    <n v="750"/>
    <x v="1"/>
    <n v="12"/>
    <n v="3"/>
    <x v="0"/>
    <n v="1"/>
    <n v="1829"/>
    <m/>
    <n v="2"/>
    <x v="0"/>
    <x v="4"/>
    <x v="3"/>
    <n v="4448"/>
    <x v="1"/>
    <s v="Jan"/>
  </r>
  <r>
    <n v="54"/>
    <x v="1"/>
    <x v="1"/>
    <m/>
    <m/>
    <s v="Travel_Rarely"/>
    <n v="431"/>
    <x v="1"/>
    <n v="7"/>
    <n v="4"/>
    <x v="2"/>
    <n v="1"/>
    <n v="1830"/>
    <m/>
    <n v="4"/>
    <x v="0"/>
    <x v="1"/>
    <x v="0"/>
    <n v="6854"/>
    <x v="1"/>
    <s v="Jan"/>
  </r>
  <r>
    <n v="31"/>
    <x v="2"/>
    <x v="1"/>
    <m/>
    <m/>
    <s v="Travel_Frequently"/>
    <n v="1125"/>
    <x v="0"/>
    <n v="7"/>
    <n v="4"/>
    <x v="3"/>
    <n v="1"/>
    <n v="1833"/>
    <m/>
    <n v="1"/>
    <x v="2"/>
    <x v="0"/>
    <x v="3"/>
    <n v="9637"/>
    <x v="1"/>
    <s v="Jan"/>
  </r>
  <r>
    <n v="28"/>
    <x v="2"/>
    <x v="1"/>
    <m/>
    <m/>
    <s v="Travel_Rarely"/>
    <n v="1217"/>
    <x v="1"/>
    <n v="1"/>
    <n v="3"/>
    <x v="2"/>
    <n v="1"/>
    <n v="1834"/>
    <m/>
    <n v="3"/>
    <x v="1"/>
    <x v="1"/>
    <x v="3"/>
    <n v="3591"/>
    <x v="1"/>
    <s v="Jan"/>
  </r>
  <r>
    <n v="38"/>
    <x v="0"/>
    <x v="1"/>
    <m/>
    <m/>
    <s v="Travel_Rarely"/>
    <n v="723"/>
    <x v="0"/>
    <n v="2"/>
    <n v="4"/>
    <x v="3"/>
    <n v="1"/>
    <n v="1835"/>
    <m/>
    <n v="2"/>
    <x v="0"/>
    <x v="6"/>
    <x v="0"/>
    <n v="5405"/>
    <x v="0"/>
    <s v="Jan"/>
  </r>
  <r>
    <n v="26"/>
    <x v="2"/>
    <x v="1"/>
    <m/>
    <m/>
    <s v="Travel_Rarely"/>
    <n v="572"/>
    <x v="0"/>
    <n v="10"/>
    <n v="3"/>
    <x v="2"/>
    <n v="1"/>
    <n v="1836"/>
    <m/>
    <n v="3"/>
    <x v="0"/>
    <x v="0"/>
    <x v="0"/>
    <n v="4684"/>
    <x v="1"/>
    <s v="Jan"/>
  </r>
  <r>
    <n v="58"/>
    <x v="3"/>
    <x v="1"/>
    <m/>
    <m/>
    <s v="Travel_Frequently"/>
    <n v="1216"/>
    <x v="1"/>
    <n v="15"/>
    <n v="4"/>
    <x v="0"/>
    <n v="1"/>
    <n v="1837"/>
    <m/>
    <n v="1"/>
    <x v="3"/>
    <x v="7"/>
    <x v="2"/>
    <n v="15787"/>
    <x v="0"/>
    <s v="Jan"/>
  </r>
  <r>
    <n v="18"/>
    <x v="4"/>
    <x v="1"/>
    <m/>
    <m/>
    <s v="Non-Travel"/>
    <n v="1431"/>
    <x v="1"/>
    <n v="14"/>
    <n v="3"/>
    <x v="2"/>
    <n v="1"/>
    <n v="1839"/>
    <m/>
    <n v="2"/>
    <x v="1"/>
    <x v="1"/>
    <x v="2"/>
    <n v="1514"/>
    <x v="1"/>
    <s v="Jan"/>
  </r>
  <r>
    <n v="31"/>
    <x v="2"/>
    <x v="0"/>
    <m/>
    <m/>
    <s v="Travel_Rarely"/>
    <n v="359"/>
    <x v="2"/>
    <n v="18"/>
    <n v="5"/>
    <x v="5"/>
    <n v="1"/>
    <n v="1842"/>
    <m/>
    <n v="4"/>
    <x v="1"/>
    <x v="8"/>
    <x v="3"/>
    <n v="2956"/>
    <x v="1"/>
    <s v="Jan"/>
  </r>
  <r>
    <n v="29"/>
    <x v="2"/>
    <x v="0"/>
    <m/>
    <m/>
    <s v="Travel_Rarely"/>
    <n v="350"/>
    <x v="2"/>
    <n v="13"/>
    <n v="3"/>
    <x v="5"/>
    <n v="1"/>
    <n v="1844"/>
    <m/>
    <n v="1"/>
    <x v="1"/>
    <x v="8"/>
    <x v="3"/>
    <n v="2335"/>
    <x v="0"/>
    <s v="Jan"/>
  </r>
  <r>
    <n v="45"/>
    <x v="1"/>
    <x v="1"/>
    <m/>
    <m/>
    <s v="Non-Travel"/>
    <n v="589"/>
    <x v="0"/>
    <n v="2"/>
    <n v="4"/>
    <x v="0"/>
    <n v="1"/>
    <n v="1845"/>
    <m/>
    <n v="3"/>
    <x v="0"/>
    <x v="0"/>
    <x v="2"/>
    <n v="5154"/>
    <x v="1"/>
    <s v="Jan"/>
  </r>
  <r>
    <n v="36"/>
    <x v="0"/>
    <x v="1"/>
    <m/>
    <m/>
    <s v="Travel_Rarely"/>
    <n v="430"/>
    <x v="1"/>
    <n v="2"/>
    <n v="4"/>
    <x v="1"/>
    <n v="1"/>
    <n v="1847"/>
    <m/>
    <n v="4"/>
    <x v="0"/>
    <x v="1"/>
    <x v="1"/>
    <n v="6962"/>
    <x v="0"/>
    <s v="Jan"/>
  </r>
  <r>
    <n v="43"/>
    <x v="0"/>
    <x v="1"/>
    <m/>
    <m/>
    <s v="Travel_Frequently"/>
    <n v="1422"/>
    <x v="0"/>
    <n v="2"/>
    <n v="4"/>
    <x v="0"/>
    <n v="1"/>
    <n v="1849"/>
    <m/>
    <n v="1"/>
    <x v="0"/>
    <x v="0"/>
    <x v="0"/>
    <n v="5675"/>
    <x v="1"/>
    <s v="Jan"/>
  </r>
  <r>
    <n v="27"/>
    <x v="2"/>
    <x v="1"/>
    <m/>
    <m/>
    <s v="Travel_Frequently"/>
    <n v="1297"/>
    <x v="1"/>
    <n v="5"/>
    <n v="2"/>
    <x v="0"/>
    <n v="1"/>
    <n v="1850"/>
    <m/>
    <n v="4"/>
    <x v="1"/>
    <x v="2"/>
    <x v="0"/>
    <n v="2379"/>
    <x v="0"/>
    <s v="Jan"/>
  </r>
  <r>
    <n v="29"/>
    <x v="2"/>
    <x v="1"/>
    <m/>
    <m/>
    <s v="Travel_Frequently"/>
    <n v="574"/>
    <x v="1"/>
    <n v="20"/>
    <n v="1"/>
    <x v="2"/>
    <n v="1"/>
    <n v="1852"/>
    <m/>
    <n v="4"/>
    <x v="1"/>
    <x v="2"/>
    <x v="0"/>
    <n v="3812"/>
    <x v="1"/>
    <s v="Jan"/>
  </r>
  <r>
    <n v="32"/>
    <x v="2"/>
    <x v="1"/>
    <m/>
    <m/>
    <s v="Travel_Frequently"/>
    <n v="1318"/>
    <x v="0"/>
    <n v="10"/>
    <n v="4"/>
    <x v="3"/>
    <n v="1"/>
    <n v="1853"/>
    <m/>
    <n v="4"/>
    <x v="0"/>
    <x v="0"/>
    <x v="0"/>
    <n v="4648"/>
    <x v="1"/>
    <s v="Jan"/>
  </r>
  <r>
    <n v="42"/>
    <x v="0"/>
    <x v="1"/>
    <m/>
    <m/>
    <s v="Non-Travel"/>
    <n v="355"/>
    <x v="1"/>
    <n v="10"/>
    <n v="4"/>
    <x v="4"/>
    <n v="1"/>
    <n v="1854"/>
    <m/>
    <n v="3"/>
    <x v="1"/>
    <x v="1"/>
    <x v="2"/>
    <n v="2936"/>
    <x v="1"/>
    <s v="Jan"/>
  </r>
  <r>
    <n v="47"/>
    <x v="1"/>
    <x v="1"/>
    <m/>
    <m/>
    <s v="Travel_Rarely"/>
    <n v="207"/>
    <x v="1"/>
    <n v="9"/>
    <n v="4"/>
    <x v="0"/>
    <n v="1"/>
    <n v="1856"/>
    <m/>
    <n v="2"/>
    <x v="1"/>
    <x v="2"/>
    <x v="2"/>
    <n v="2105"/>
    <x v="1"/>
    <s v="Jan"/>
  </r>
  <r>
    <n v="46"/>
    <x v="1"/>
    <x v="1"/>
    <m/>
    <m/>
    <s v="Travel_Rarely"/>
    <n v="706"/>
    <x v="1"/>
    <n v="2"/>
    <n v="2"/>
    <x v="0"/>
    <n v="1"/>
    <n v="1857"/>
    <m/>
    <n v="4"/>
    <x v="2"/>
    <x v="3"/>
    <x v="0"/>
    <n v="8578"/>
    <x v="1"/>
    <s v="Jan"/>
  </r>
  <r>
    <n v="28"/>
    <x v="2"/>
    <x v="1"/>
    <m/>
    <m/>
    <s v="Non-Travel"/>
    <n v="280"/>
    <x v="2"/>
    <n v="1"/>
    <n v="2"/>
    <x v="0"/>
    <n v="1"/>
    <n v="1858"/>
    <m/>
    <n v="3"/>
    <x v="1"/>
    <x v="8"/>
    <x v="0"/>
    <n v="2706"/>
    <x v="1"/>
    <s v="Jan"/>
  </r>
  <r>
    <n v="29"/>
    <x v="2"/>
    <x v="1"/>
    <m/>
    <m/>
    <s v="Travel_Rarely"/>
    <n v="726"/>
    <x v="1"/>
    <n v="29"/>
    <n v="1"/>
    <x v="0"/>
    <n v="1"/>
    <n v="1859"/>
    <m/>
    <n v="4"/>
    <x v="0"/>
    <x v="4"/>
    <x v="2"/>
    <n v="6384"/>
    <x v="1"/>
    <s v="Jan"/>
  </r>
  <r>
    <n v="42"/>
    <x v="0"/>
    <x v="1"/>
    <m/>
    <m/>
    <s v="Travel_Rarely"/>
    <n v="1142"/>
    <x v="1"/>
    <n v="8"/>
    <n v="3"/>
    <x v="0"/>
    <n v="1"/>
    <n v="1860"/>
    <m/>
    <n v="4"/>
    <x v="1"/>
    <x v="2"/>
    <x v="2"/>
    <n v="3968"/>
    <x v="1"/>
    <s v="Jan"/>
  </r>
  <r>
    <n v="32"/>
    <x v="2"/>
    <x v="0"/>
    <m/>
    <m/>
    <s v="Travel_Rarely"/>
    <n v="414"/>
    <x v="0"/>
    <n v="2"/>
    <n v="4"/>
    <x v="3"/>
    <n v="1"/>
    <n v="1862"/>
    <m/>
    <n v="3"/>
    <x v="0"/>
    <x v="0"/>
    <x v="1"/>
    <n v="9907"/>
    <x v="0"/>
    <s v="Jan"/>
  </r>
  <r>
    <n v="46"/>
    <x v="1"/>
    <x v="1"/>
    <m/>
    <m/>
    <s v="Travel_Rarely"/>
    <n v="1319"/>
    <x v="0"/>
    <n v="3"/>
    <n v="3"/>
    <x v="4"/>
    <n v="1"/>
    <n v="1863"/>
    <m/>
    <n v="1"/>
    <x v="3"/>
    <x v="0"/>
    <x v="3"/>
    <n v="13225"/>
    <x v="1"/>
    <s v="Jan"/>
  </r>
  <r>
    <n v="27"/>
    <x v="2"/>
    <x v="1"/>
    <m/>
    <m/>
    <s v="Travel_Rarely"/>
    <n v="728"/>
    <x v="0"/>
    <n v="23"/>
    <n v="1"/>
    <x v="2"/>
    <n v="1"/>
    <n v="1864"/>
    <m/>
    <n v="2"/>
    <x v="0"/>
    <x v="6"/>
    <x v="2"/>
    <n v="3540"/>
    <x v="1"/>
    <s v="Jan"/>
  </r>
  <r>
    <n v="29"/>
    <x v="2"/>
    <x v="1"/>
    <m/>
    <m/>
    <s v="Travel_Rarely"/>
    <n v="352"/>
    <x v="2"/>
    <n v="6"/>
    <n v="1"/>
    <x v="2"/>
    <n v="1"/>
    <n v="1865"/>
    <m/>
    <n v="4"/>
    <x v="1"/>
    <x v="8"/>
    <x v="1"/>
    <n v="2804"/>
    <x v="1"/>
    <s v="Jan"/>
  </r>
  <r>
    <n v="43"/>
    <x v="0"/>
    <x v="1"/>
    <m/>
    <m/>
    <s v="Travel_Rarely"/>
    <n v="823"/>
    <x v="1"/>
    <n v="6"/>
    <n v="3"/>
    <x v="2"/>
    <n v="1"/>
    <n v="1866"/>
    <m/>
    <n v="1"/>
    <x v="4"/>
    <x v="5"/>
    <x v="2"/>
    <n v="19392"/>
    <x v="1"/>
    <s v="Jan"/>
  </r>
  <r>
    <n v="48"/>
    <x v="1"/>
    <x v="1"/>
    <m/>
    <m/>
    <s v="Travel_Rarely"/>
    <n v="1224"/>
    <x v="1"/>
    <n v="10"/>
    <n v="3"/>
    <x v="0"/>
    <n v="1"/>
    <n v="1867"/>
    <m/>
    <n v="4"/>
    <x v="4"/>
    <x v="7"/>
    <x v="1"/>
    <n v="19665"/>
    <x v="1"/>
    <s v="Jan"/>
  </r>
  <r>
    <n v="29"/>
    <x v="2"/>
    <x v="0"/>
    <m/>
    <m/>
    <s v="Travel_Frequently"/>
    <n v="459"/>
    <x v="1"/>
    <n v="24"/>
    <n v="2"/>
    <x v="0"/>
    <n v="1"/>
    <n v="1868"/>
    <m/>
    <n v="4"/>
    <x v="1"/>
    <x v="1"/>
    <x v="0"/>
    <n v="2439"/>
    <x v="0"/>
    <s v="Jan"/>
  </r>
  <r>
    <n v="46"/>
    <x v="1"/>
    <x v="0"/>
    <m/>
    <m/>
    <s v="Travel_Rarely"/>
    <n v="1254"/>
    <x v="0"/>
    <n v="10"/>
    <n v="3"/>
    <x v="0"/>
    <n v="1"/>
    <n v="1869"/>
    <m/>
    <n v="3"/>
    <x v="2"/>
    <x v="0"/>
    <x v="1"/>
    <n v="7314"/>
    <x v="1"/>
    <s v="Jan"/>
  </r>
  <r>
    <n v="27"/>
    <x v="2"/>
    <x v="1"/>
    <m/>
    <m/>
    <s v="Travel_Frequently"/>
    <n v="1131"/>
    <x v="1"/>
    <n v="15"/>
    <n v="3"/>
    <x v="0"/>
    <n v="1"/>
    <n v="1870"/>
    <m/>
    <n v="4"/>
    <x v="1"/>
    <x v="1"/>
    <x v="3"/>
    <n v="4774"/>
    <x v="1"/>
    <s v="Jan"/>
  </r>
  <r>
    <n v="39"/>
    <x v="0"/>
    <x v="1"/>
    <m/>
    <m/>
    <s v="Travel_Rarely"/>
    <n v="835"/>
    <x v="1"/>
    <n v="19"/>
    <n v="4"/>
    <x v="1"/>
    <n v="1"/>
    <n v="1871"/>
    <m/>
    <n v="4"/>
    <x v="0"/>
    <x v="1"/>
    <x v="0"/>
    <n v="3902"/>
    <x v="1"/>
    <s v="Jan"/>
  </r>
  <r>
    <n v="55"/>
    <x v="3"/>
    <x v="1"/>
    <m/>
    <m/>
    <s v="Travel_Rarely"/>
    <n v="836"/>
    <x v="1"/>
    <n v="2"/>
    <n v="4"/>
    <x v="4"/>
    <n v="1"/>
    <n v="1873"/>
    <m/>
    <n v="2"/>
    <x v="1"/>
    <x v="1"/>
    <x v="0"/>
    <n v="2662"/>
    <x v="1"/>
    <s v="Jan"/>
  </r>
  <r>
    <n v="28"/>
    <x v="2"/>
    <x v="1"/>
    <m/>
    <m/>
    <s v="Travel_Rarely"/>
    <n v="1172"/>
    <x v="0"/>
    <n v="3"/>
    <n v="3"/>
    <x v="2"/>
    <n v="1"/>
    <n v="1875"/>
    <m/>
    <n v="2"/>
    <x v="1"/>
    <x v="6"/>
    <x v="1"/>
    <n v="2856"/>
    <x v="1"/>
    <s v="Jan"/>
  </r>
  <r>
    <n v="30"/>
    <x v="2"/>
    <x v="0"/>
    <m/>
    <m/>
    <s v="Travel_Rarely"/>
    <n v="945"/>
    <x v="0"/>
    <n v="9"/>
    <n v="3"/>
    <x v="2"/>
    <n v="1"/>
    <n v="1876"/>
    <m/>
    <n v="2"/>
    <x v="1"/>
    <x v="6"/>
    <x v="0"/>
    <n v="1081"/>
    <x v="1"/>
    <s v="Jan"/>
  </r>
  <r>
    <n v="22"/>
    <x v="4"/>
    <x v="0"/>
    <m/>
    <m/>
    <s v="Travel_Rarely"/>
    <n v="391"/>
    <x v="1"/>
    <n v="7"/>
    <n v="1"/>
    <x v="0"/>
    <n v="1"/>
    <n v="1878"/>
    <m/>
    <n v="4"/>
    <x v="1"/>
    <x v="1"/>
    <x v="1"/>
    <n v="2472"/>
    <x v="0"/>
    <s v="Jan"/>
  </r>
  <r>
    <n v="36"/>
    <x v="0"/>
    <x v="1"/>
    <m/>
    <m/>
    <s v="Travel_Rarely"/>
    <n v="1266"/>
    <x v="0"/>
    <n v="10"/>
    <n v="4"/>
    <x v="4"/>
    <n v="1"/>
    <n v="1880"/>
    <m/>
    <n v="2"/>
    <x v="0"/>
    <x v="0"/>
    <x v="2"/>
    <n v="5673"/>
    <x v="0"/>
    <s v="Jan"/>
  </r>
  <r>
    <n v="31"/>
    <x v="2"/>
    <x v="1"/>
    <m/>
    <m/>
    <s v="Travel_Rarely"/>
    <n v="311"/>
    <x v="1"/>
    <n v="20"/>
    <n v="3"/>
    <x v="0"/>
    <n v="1"/>
    <n v="1881"/>
    <m/>
    <n v="2"/>
    <x v="0"/>
    <x v="2"/>
    <x v="2"/>
    <n v="4197"/>
    <x v="1"/>
    <s v="Jan"/>
  </r>
  <r>
    <n v="34"/>
    <x v="2"/>
    <x v="1"/>
    <m/>
    <m/>
    <s v="Travel_Rarely"/>
    <n v="1480"/>
    <x v="0"/>
    <n v="4"/>
    <n v="3"/>
    <x v="0"/>
    <n v="1"/>
    <n v="1882"/>
    <m/>
    <n v="3"/>
    <x v="2"/>
    <x v="0"/>
    <x v="0"/>
    <n v="9713"/>
    <x v="0"/>
    <s v="Jan"/>
  </r>
  <r>
    <n v="29"/>
    <x v="2"/>
    <x v="1"/>
    <m/>
    <m/>
    <s v="Travel_Rarely"/>
    <n v="592"/>
    <x v="1"/>
    <n v="7"/>
    <n v="3"/>
    <x v="0"/>
    <n v="1"/>
    <n v="1883"/>
    <m/>
    <n v="4"/>
    <x v="1"/>
    <x v="2"/>
    <x v="3"/>
    <n v="2062"/>
    <x v="1"/>
    <s v="Jan"/>
  </r>
  <r>
    <n v="37"/>
    <x v="0"/>
    <x v="1"/>
    <m/>
    <m/>
    <s v="Travel_Rarely"/>
    <n v="783"/>
    <x v="1"/>
    <n v="7"/>
    <n v="4"/>
    <x v="2"/>
    <n v="1"/>
    <n v="1885"/>
    <m/>
    <n v="4"/>
    <x v="0"/>
    <x v="1"/>
    <x v="3"/>
    <n v="4284"/>
    <x v="0"/>
    <s v="Jan"/>
  </r>
  <r>
    <n v="35"/>
    <x v="0"/>
    <x v="1"/>
    <m/>
    <m/>
    <s v="Travel_Rarely"/>
    <n v="219"/>
    <x v="1"/>
    <n v="16"/>
    <n v="2"/>
    <x v="1"/>
    <n v="1"/>
    <n v="1886"/>
    <m/>
    <n v="4"/>
    <x v="0"/>
    <x v="3"/>
    <x v="1"/>
    <n v="4788"/>
    <x v="0"/>
    <s v="Jan"/>
  </r>
  <r>
    <n v="45"/>
    <x v="1"/>
    <x v="1"/>
    <m/>
    <m/>
    <s v="Travel_Rarely"/>
    <n v="556"/>
    <x v="1"/>
    <n v="25"/>
    <n v="2"/>
    <x v="0"/>
    <n v="1"/>
    <n v="1888"/>
    <m/>
    <n v="2"/>
    <x v="0"/>
    <x v="3"/>
    <x v="0"/>
    <n v="5906"/>
    <x v="1"/>
    <s v="Jan"/>
  </r>
  <r>
    <n v="36"/>
    <x v="0"/>
    <x v="1"/>
    <m/>
    <m/>
    <s v="Travel_Frequently"/>
    <n v="1213"/>
    <x v="2"/>
    <n v="2"/>
    <n v="1"/>
    <x v="5"/>
    <n v="1"/>
    <n v="1890"/>
    <m/>
    <n v="2"/>
    <x v="0"/>
    <x v="8"/>
    <x v="0"/>
    <n v="3886"/>
    <x v="1"/>
    <s v="Jan"/>
  </r>
  <r>
    <n v="40"/>
    <x v="0"/>
    <x v="1"/>
    <m/>
    <m/>
    <s v="Travel_Rarely"/>
    <n v="1137"/>
    <x v="1"/>
    <n v="1"/>
    <n v="4"/>
    <x v="0"/>
    <n v="1"/>
    <n v="1892"/>
    <m/>
    <n v="1"/>
    <x v="3"/>
    <x v="5"/>
    <x v="3"/>
    <n v="16823"/>
    <x v="1"/>
    <s v="Jan"/>
  </r>
  <r>
    <n v="26"/>
    <x v="2"/>
    <x v="1"/>
    <m/>
    <m/>
    <s v="Travel_Rarely"/>
    <n v="482"/>
    <x v="1"/>
    <n v="1"/>
    <n v="2"/>
    <x v="0"/>
    <n v="1"/>
    <n v="1893"/>
    <m/>
    <n v="2"/>
    <x v="1"/>
    <x v="1"/>
    <x v="2"/>
    <n v="2933"/>
    <x v="0"/>
    <s v="Jan"/>
  </r>
  <r>
    <n v="27"/>
    <x v="2"/>
    <x v="1"/>
    <m/>
    <m/>
    <s v="Travel_Rarely"/>
    <n v="511"/>
    <x v="0"/>
    <n v="2"/>
    <n v="2"/>
    <x v="2"/>
    <n v="1"/>
    <n v="1898"/>
    <m/>
    <n v="1"/>
    <x v="0"/>
    <x v="0"/>
    <x v="2"/>
    <n v="6500"/>
    <x v="1"/>
    <s v="Jan"/>
  </r>
  <r>
    <n v="48"/>
    <x v="1"/>
    <x v="1"/>
    <m/>
    <m/>
    <s v="Travel_Frequently"/>
    <n v="117"/>
    <x v="1"/>
    <n v="22"/>
    <n v="3"/>
    <x v="2"/>
    <n v="1"/>
    <n v="1900"/>
    <m/>
    <n v="4"/>
    <x v="3"/>
    <x v="5"/>
    <x v="0"/>
    <n v="17174"/>
    <x v="1"/>
    <s v="Jan"/>
  </r>
  <r>
    <n v="44"/>
    <x v="0"/>
    <x v="1"/>
    <m/>
    <m/>
    <s v="Travel_Rarely"/>
    <n v="170"/>
    <x v="1"/>
    <n v="1"/>
    <n v="4"/>
    <x v="0"/>
    <n v="1"/>
    <n v="1903"/>
    <m/>
    <n v="2"/>
    <x v="0"/>
    <x v="4"/>
    <x v="3"/>
    <n v="5033"/>
    <x v="1"/>
    <s v="Jan"/>
  </r>
  <r>
    <n v="34"/>
    <x v="2"/>
    <x v="0"/>
    <m/>
    <m/>
    <s v="Non-Travel"/>
    <n v="967"/>
    <x v="1"/>
    <n v="16"/>
    <n v="4"/>
    <x v="4"/>
    <n v="1"/>
    <n v="1905"/>
    <m/>
    <n v="4"/>
    <x v="1"/>
    <x v="1"/>
    <x v="3"/>
    <n v="2307"/>
    <x v="0"/>
    <s v="Jan"/>
  </r>
  <r>
    <n v="56"/>
    <x v="3"/>
    <x v="0"/>
    <m/>
    <m/>
    <s v="Travel_Rarely"/>
    <n v="1162"/>
    <x v="1"/>
    <n v="24"/>
    <n v="2"/>
    <x v="0"/>
    <n v="1"/>
    <n v="1907"/>
    <m/>
    <n v="1"/>
    <x v="1"/>
    <x v="2"/>
    <x v="0"/>
    <n v="2587"/>
    <x v="1"/>
    <s v="Jan"/>
  </r>
  <r>
    <n v="36"/>
    <x v="0"/>
    <x v="1"/>
    <m/>
    <m/>
    <s v="Travel_Rarely"/>
    <n v="335"/>
    <x v="0"/>
    <n v="17"/>
    <n v="2"/>
    <x v="3"/>
    <n v="1"/>
    <n v="1908"/>
    <m/>
    <n v="3"/>
    <x v="0"/>
    <x v="0"/>
    <x v="1"/>
    <n v="5507"/>
    <x v="1"/>
    <s v="Jan"/>
  </r>
  <r>
    <n v="41"/>
    <x v="0"/>
    <x v="1"/>
    <m/>
    <m/>
    <s v="Travel_Rarely"/>
    <n v="337"/>
    <x v="0"/>
    <n v="8"/>
    <n v="3"/>
    <x v="3"/>
    <n v="1"/>
    <n v="1909"/>
    <m/>
    <n v="3"/>
    <x v="0"/>
    <x v="0"/>
    <x v="1"/>
    <n v="4393"/>
    <x v="1"/>
    <s v="Jan"/>
  </r>
  <r>
    <n v="42"/>
    <x v="0"/>
    <x v="1"/>
    <m/>
    <m/>
    <s v="Travel_Rarely"/>
    <n v="1396"/>
    <x v="1"/>
    <n v="6"/>
    <n v="3"/>
    <x v="2"/>
    <n v="1"/>
    <n v="1911"/>
    <m/>
    <n v="3"/>
    <x v="2"/>
    <x v="7"/>
    <x v="3"/>
    <n v="13348"/>
    <x v="1"/>
    <s v="Jan"/>
  </r>
  <r>
    <n v="31"/>
    <x v="2"/>
    <x v="1"/>
    <m/>
    <m/>
    <s v="Travel_Rarely"/>
    <n v="1079"/>
    <x v="0"/>
    <n v="10"/>
    <n v="2"/>
    <x v="2"/>
    <n v="1"/>
    <n v="1912"/>
    <m/>
    <n v="3"/>
    <x v="0"/>
    <x v="0"/>
    <x v="0"/>
    <n v="6583"/>
    <x v="0"/>
    <s v="Jan"/>
  </r>
  <r>
    <n v="34"/>
    <x v="2"/>
    <x v="1"/>
    <m/>
    <m/>
    <s v="Travel_Rarely"/>
    <n v="735"/>
    <x v="0"/>
    <n v="3"/>
    <n v="1"/>
    <x v="2"/>
    <n v="1"/>
    <n v="1915"/>
    <m/>
    <n v="4"/>
    <x v="0"/>
    <x v="0"/>
    <x v="0"/>
    <n v="8103"/>
    <x v="0"/>
    <s v="Jan"/>
  </r>
  <r>
    <n v="31"/>
    <x v="2"/>
    <x v="1"/>
    <m/>
    <m/>
    <s v="Travel_Rarely"/>
    <n v="471"/>
    <x v="1"/>
    <n v="4"/>
    <n v="3"/>
    <x v="2"/>
    <n v="1"/>
    <n v="1916"/>
    <m/>
    <n v="1"/>
    <x v="1"/>
    <x v="2"/>
    <x v="2"/>
    <n v="3978"/>
    <x v="1"/>
    <s v="Jan"/>
  </r>
  <r>
    <n v="26"/>
    <x v="2"/>
    <x v="1"/>
    <m/>
    <m/>
    <s v="Travel_Frequently"/>
    <n v="1096"/>
    <x v="1"/>
    <n v="6"/>
    <n v="3"/>
    <x v="1"/>
    <n v="1"/>
    <n v="1918"/>
    <m/>
    <n v="3"/>
    <x v="1"/>
    <x v="2"/>
    <x v="0"/>
    <n v="2544"/>
    <x v="1"/>
    <s v="Jan"/>
  </r>
  <r>
    <n v="45"/>
    <x v="1"/>
    <x v="1"/>
    <m/>
    <m/>
    <s v="Travel_Frequently"/>
    <n v="1297"/>
    <x v="1"/>
    <n v="1"/>
    <n v="4"/>
    <x v="2"/>
    <n v="1"/>
    <n v="1922"/>
    <m/>
    <n v="2"/>
    <x v="0"/>
    <x v="4"/>
    <x v="2"/>
    <n v="5399"/>
    <x v="1"/>
    <s v="Jan"/>
  </r>
  <r>
    <n v="33"/>
    <x v="2"/>
    <x v="1"/>
    <m/>
    <m/>
    <s v="Travel_Rarely"/>
    <n v="217"/>
    <x v="0"/>
    <n v="10"/>
    <n v="4"/>
    <x v="3"/>
    <n v="1"/>
    <n v="1924"/>
    <m/>
    <n v="2"/>
    <x v="0"/>
    <x v="0"/>
    <x v="2"/>
    <n v="5487"/>
    <x v="1"/>
    <s v="Jan"/>
  </r>
  <r>
    <n v="28"/>
    <x v="2"/>
    <x v="1"/>
    <m/>
    <m/>
    <s v="Travel_Frequently"/>
    <n v="783"/>
    <x v="0"/>
    <n v="1"/>
    <n v="2"/>
    <x v="0"/>
    <n v="1"/>
    <n v="1927"/>
    <m/>
    <n v="3"/>
    <x v="0"/>
    <x v="0"/>
    <x v="0"/>
    <n v="6834"/>
    <x v="0"/>
    <s v="Jan"/>
  </r>
  <r>
    <n v="29"/>
    <x v="2"/>
    <x v="0"/>
    <m/>
    <m/>
    <s v="Travel_Frequently"/>
    <n v="746"/>
    <x v="0"/>
    <n v="24"/>
    <n v="3"/>
    <x v="4"/>
    <n v="1"/>
    <n v="1928"/>
    <m/>
    <n v="3"/>
    <x v="1"/>
    <x v="6"/>
    <x v="3"/>
    <n v="1091"/>
    <x v="1"/>
    <s v="Jan"/>
  </r>
  <r>
    <n v="39"/>
    <x v="0"/>
    <x v="1"/>
    <m/>
    <m/>
    <s v="Non-Travel"/>
    <n v="1251"/>
    <x v="0"/>
    <n v="21"/>
    <n v="4"/>
    <x v="0"/>
    <n v="1"/>
    <n v="1929"/>
    <m/>
    <n v="1"/>
    <x v="0"/>
    <x v="0"/>
    <x v="2"/>
    <n v="5736"/>
    <x v="1"/>
    <s v="Jan"/>
  </r>
  <r>
    <n v="27"/>
    <x v="2"/>
    <x v="1"/>
    <m/>
    <m/>
    <s v="Travel_Rarely"/>
    <n v="1354"/>
    <x v="1"/>
    <n v="2"/>
    <n v="4"/>
    <x v="4"/>
    <n v="1"/>
    <n v="1931"/>
    <m/>
    <n v="2"/>
    <x v="1"/>
    <x v="1"/>
    <x v="1"/>
    <n v="2226"/>
    <x v="1"/>
    <s v="Jan"/>
  </r>
  <r>
    <n v="34"/>
    <x v="2"/>
    <x v="1"/>
    <m/>
    <m/>
    <s v="Travel_Frequently"/>
    <n v="735"/>
    <x v="1"/>
    <n v="22"/>
    <n v="4"/>
    <x v="1"/>
    <n v="1"/>
    <n v="1932"/>
    <m/>
    <n v="3"/>
    <x v="0"/>
    <x v="1"/>
    <x v="0"/>
    <n v="5747"/>
    <x v="0"/>
    <s v="Jan"/>
  </r>
  <r>
    <n v="28"/>
    <x v="2"/>
    <x v="0"/>
    <m/>
    <m/>
    <s v="Travel_Rarely"/>
    <n v="1475"/>
    <x v="0"/>
    <n v="13"/>
    <n v="2"/>
    <x v="3"/>
    <n v="1"/>
    <n v="1933"/>
    <m/>
    <n v="4"/>
    <x v="0"/>
    <x v="0"/>
    <x v="2"/>
    <n v="9854"/>
    <x v="0"/>
    <s v="Jan"/>
  </r>
  <r>
    <n v="47"/>
    <x v="1"/>
    <x v="1"/>
    <m/>
    <m/>
    <s v="Non-Travel"/>
    <n v="1169"/>
    <x v="1"/>
    <n v="14"/>
    <n v="4"/>
    <x v="4"/>
    <n v="1"/>
    <n v="1934"/>
    <m/>
    <n v="3"/>
    <x v="0"/>
    <x v="1"/>
    <x v="1"/>
    <n v="5467"/>
    <x v="1"/>
    <s v="Jan"/>
  </r>
  <r>
    <n v="56"/>
    <x v="3"/>
    <x v="1"/>
    <m/>
    <m/>
    <s v="Travel_Rarely"/>
    <n v="1443"/>
    <x v="0"/>
    <n v="11"/>
    <n v="5"/>
    <x v="3"/>
    <n v="1"/>
    <n v="1935"/>
    <m/>
    <n v="4"/>
    <x v="0"/>
    <x v="0"/>
    <x v="3"/>
    <n v="5380"/>
    <x v="1"/>
    <s v="Jan"/>
  </r>
  <r>
    <n v="39"/>
    <x v="0"/>
    <x v="1"/>
    <m/>
    <m/>
    <s v="Travel_Rarely"/>
    <n v="867"/>
    <x v="1"/>
    <n v="9"/>
    <n v="2"/>
    <x v="2"/>
    <n v="1"/>
    <n v="1936"/>
    <m/>
    <n v="1"/>
    <x v="0"/>
    <x v="3"/>
    <x v="3"/>
    <n v="5151"/>
    <x v="1"/>
    <s v="Jan"/>
  </r>
  <r>
    <n v="38"/>
    <x v="0"/>
    <x v="1"/>
    <m/>
    <m/>
    <s v="Travel_Frequently"/>
    <n v="1394"/>
    <x v="1"/>
    <n v="8"/>
    <n v="3"/>
    <x v="2"/>
    <n v="1"/>
    <n v="1937"/>
    <m/>
    <n v="4"/>
    <x v="0"/>
    <x v="1"/>
    <x v="1"/>
    <n v="2133"/>
    <x v="0"/>
    <s v="Jan"/>
  </r>
  <r>
    <n v="58"/>
    <x v="3"/>
    <x v="1"/>
    <m/>
    <m/>
    <s v="Travel_Rarely"/>
    <n v="605"/>
    <x v="0"/>
    <n v="21"/>
    <n v="3"/>
    <x v="0"/>
    <n v="1"/>
    <n v="1938"/>
    <m/>
    <n v="4"/>
    <x v="3"/>
    <x v="5"/>
    <x v="0"/>
    <n v="17875"/>
    <x v="0"/>
    <s v="Jan"/>
  </r>
  <r>
    <n v="32"/>
    <x v="2"/>
    <x v="0"/>
    <m/>
    <m/>
    <s v="Travel_Frequently"/>
    <n v="238"/>
    <x v="1"/>
    <n v="5"/>
    <n v="2"/>
    <x v="0"/>
    <n v="1"/>
    <n v="1939"/>
    <m/>
    <n v="1"/>
    <x v="1"/>
    <x v="1"/>
    <x v="2"/>
    <n v="2432"/>
    <x v="0"/>
    <s v="Jan"/>
  </r>
  <r>
    <n v="38"/>
    <x v="0"/>
    <x v="1"/>
    <m/>
    <m/>
    <s v="Travel_Rarely"/>
    <n v="1206"/>
    <x v="1"/>
    <n v="9"/>
    <n v="2"/>
    <x v="0"/>
    <n v="1"/>
    <n v="1940"/>
    <m/>
    <n v="2"/>
    <x v="1"/>
    <x v="1"/>
    <x v="0"/>
    <n v="4771"/>
    <x v="1"/>
    <s v="Jan"/>
  </r>
  <r>
    <n v="49"/>
    <x v="1"/>
    <x v="1"/>
    <m/>
    <m/>
    <s v="Travel_Frequently"/>
    <n v="1064"/>
    <x v="1"/>
    <n v="2"/>
    <n v="1"/>
    <x v="0"/>
    <n v="1"/>
    <n v="1941"/>
    <m/>
    <n v="2"/>
    <x v="4"/>
    <x v="7"/>
    <x v="0"/>
    <n v="19161"/>
    <x v="1"/>
    <s v="Jan"/>
  </r>
  <r>
    <n v="42"/>
    <x v="0"/>
    <x v="1"/>
    <m/>
    <m/>
    <s v="Travel_Rarely"/>
    <n v="419"/>
    <x v="0"/>
    <n v="12"/>
    <n v="4"/>
    <x v="3"/>
    <n v="1"/>
    <n v="1943"/>
    <m/>
    <n v="2"/>
    <x v="0"/>
    <x v="0"/>
    <x v="0"/>
    <n v="5087"/>
    <x v="0"/>
    <s v="Jan"/>
  </r>
  <r>
    <n v="27"/>
    <x v="2"/>
    <x v="0"/>
    <m/>
    <m/>
    <s v="Travel_Frequently"/>
    <n v="1337"/>
    <x v="2"/>
    <n v="22"/>
    <n v="3"/>
    <x v="5"/>
    <n v="1"/>
    <n v="1944"/>
    <m/>
    <n v="1"/>
    <x v="1"/>
    <x v="8"/>
    <x v="1"/>
    <n v="2863"/>
    <x v="1"/>
    <s v="Jan"/>
  </r>
  <r>
    <n v="35"/>
    <x v="0"/>
    <x v="1"/>
    <m/>
    <m/>
    <s v="Travel_Rarely"/>
    <n v="682"/>
    <x v="0"/>
    <n v="18"/>
    <n v="4"/>
    <x v="2"/>
    <n v="1"/>
    <n v="1945"/>
    <m/>
    <n v="2"/>
    <x v="0"/>
    <x v="0"/>
    <x v="3"/>
    <n v="5561"/>
    <x v="1"/>
    <s v="Jan"/>
  </r>
  <r>
    <n v="28"/>
    <x v="2"/>
    <x v="1"/>
    <m/>
    <m/>
    <s v="Non-Travel"/>
    <n v="1103"/>
    <x v="1"/>
    <n v="16"/>
    <n v="3"/>
    <x v="2"/>
    <n v="1"/>
    <n v="1947"/>
    <m/>
    <n v="3"/>
    <x v="1"/>
    <x v="1"/>
    <x v="2"/>
    <n v="2144"/>
    <x v="1"/>
    <s v="Jan"/>
  </r>
  <r>
    <n v="31"/>
    <x v="2"/>
    <x v="1"/>
    <m/>
    <m/>
    <s v="Non-Travel"/>
    <n v="976"/>
    <x v="1"/>
    <n v="3"/>
    <n v="2"/>
    <x v="2"/>
    <n v="1"/>
    <n v="1948"/>
    <m/>
    <n v="3"/>
    <x v="1"/>
    <x v="1"/>
    <x v="3"/>
    <n v="3065"/>
    <x v="0"/>
    <s v="Jan"/>
  </r>
  <r>
    <n v="36"/>
    <x v="0"/>
    <x v="1"/>
    <m/>
    <m/>
    <s v="Non-Travel"/>
    <n v="1351"/>
    <x v="1"/>
    <n v="9"/>
    <n v="4"/>
    <x v="0"/>
    <n v="1"/>
    <n v="1949"/>
    <m/>
    <n v="1"/>
    <x v="1"/>
    <x v="2"/>
    <x v="1"/>
    <n v="2810"/>
    <x v="1"/>
    <s v="Jan"/>
  </r>
  <r>
    <n v="34"/>
    <x v="2"/>
    <x v="1"/>
    <m/>
    <m/>
    <s v="Travel_Rarely"/>
    <n v="937"/>
    <x v="0"/>
    <n v="1"/>
    <n v="3"/>
    <x v="3"/>
    <n v="1"/>
    <n v="1950"/>
    <m/>
    <n v="1"/>
    <x v="2"/>
    <x v="0"/>
    <x v="0"/>
    <n v="9888"/>
    <x v="1"/>
    <s v="Jan"/>
  </r>
  <r>
    <n v="34"/>
    <x v="2"/>
    <x v="1"/>
    <m/>
    <m/>
    <s v="Travel_Rarely"/>
    <n v="1239"/>
    <x v="0"/>
    <n v="13"/>
    <n v="4"/>
    <x v="2"/>
    <n v="1"/>
    <n v="1951"/>
    <m/>
    <n v="4"/>
    <x v="2"/>
    <x v="0"/>
    <x v="2"/>
    <n v="8628"/>
    <x v="1"/>
    <s v="Jan"/>
  </r>
  <r>
    <n v="26"/>
    <x v="2"/>
    <x v="1"/>
    <m/>
    <m/>
    <s v="Travel_Rarely"/>
    <n v="157"/>
    <x v="1"/>
    <n v="1"/>
    <n v="3"/>
    <x v="2"/>
    <n v="1"/>
    <n v="1952"/>
    <m/>
    <n v="3"/>
    <x v="1"/>
    <x v="2"/>
    <x v="3"/>
    <n v="2867"/>
    <x v="1"/>
    <s v="Jan"/>
  </r>
  <r>
    <n v="29"/>
    <x v="2"/>
    <x v="1"/>
    <m/>
    <m/>
    <s v="Travel_Rarely"/>
    <n v="136"/>
    <x v="1"/>
    <n v="1"/>
    <n v="3"/>
    <x v="0"/>
    <n v="1"/>
    <n v="1954"/>
    <m/>
    <n v="1"/>
    <x v="0"/>
    <x v="4"/>
    <x v="3"/>
    <n v="5373"/>
    <x v="1"/>
    <s v="Jan"/>
  </r>
  <r>
    <n v="32"/>
    <x v="2"/>
    <x v="1"/>
    <m/>
    <m/>
    <s v="Non-Travel"/>
    <n v="1146"/>
    <x v="1"/>
    <n v="15"/>
    <n v="4"/>
    <x v="2"/>
    <n v="1"/>
    <n v="1955"/>
    <m/>
    <n v="3"/>
    <x v="0"/>
    <x v="4"/>
    <x v="0"/>
    <n v="6667"/>
    <x v="1"/>
    <s v="Jan"/>
  </r>
  <r>
    <n v="31"/>
    <x v="2"/>
    <x v="1"/>
    <m/>
    <m/>
    <s v="Travel_Frequently"/>
    <n v="1125"/>
    <x v="1"/>
    <n v="1"/>
    <n v="3"/>
    <x v="0"/>
    <n v="1"/>
    <n v="1956"/>
    <m/>
    <n v="4"/>
    <x v="0"/>
    <x v="1"/>
    <x v="3"/>
    <n v="5003"/>
    <x v="1"/>
    <s v="Jan"/>
  </r>
  <r>
    <n v="28"/>
    <x v="2"/>
    <x v="0"/>
    <m/>
    <m/>
    <s v="Travel_Rarely"/>
    <n v="1404"/>
    <x v="1"/>
    <n v="17"/>
    <n v="3"/>
    <x v="4"/>
    <n v="1"/>
    <n v="1960"/>
    <m/>
    <n v="3"/>
    <x v="1"/>
    <x v="2"/>
    <x v="0"/>
    <n v="2367"/>
    <x v="1"/>
    <s v="Jan"/>
  </r>
  <r>
    <n v="38"/>
    <x v="0"/>
    <x v="1"/>
    <m/>
    <m/>
    <s v="Travel_Rarely"/>
    <n v="1404"/>
    <x v="0"/>
    <n v="1"/>
    <n v="3"/>
    <x v="0"/>
    <n v="1"/>
    <n v="1961"/>
    <m/>
    <n v="1"/>
    <x v="1"/>
    <x v="6"/>
    <x v="3"/>
    <n v="2858"/>
    <x v="1"/>
    <s v="Jan"/>
  </r>
  <r>
    <n v="35"/>
    <x v="0"/>
    <x v="1"/>
    <m/>
    <m/>
    <s v="Travel_Rarely"/>
    <n v="1224"/>
    <x v="0"/>
    <n v="7"/>
    <n v="4"/>
    <x v="0"/>
    <n v="1"/>
    <n v="1962"/>
    <m/>
    <n v="3"/>
    <x v="0"/>
    <x v="0"/>
    <x v="0"/>
    <n v="5204"/>
    <x v="0"/>
    <s v="Jan"/>
  </r>
  <r>
    <n v="27"/>
    <x v="2"/>
    <x v="1"/>
    <m/>
    <m/>
    <s v="Travel_Rarely"/>
    <n v="954"/>
    <x v="0"/>
    <n v="9"/>
    <n v="3"/>
    <x v="3"/>
    <n v="1"/>
    <n v="1965"/>
    <m/>
    <n v="4"/>
    <x v="0"/>
    <x v="0"/>
    <x v="0"/>
    <n v="4105"/>
    <x v="1"/>
    <s v="Jan"/>
  </r>
  <r>
    <n v="32"/>
    <x v="2"/>
    <x v="1"/>
    <m/>
    <m/>
    <s v="Travel_Rarely"/>
    <n v="1373"/>
    <x v="1"/>
    <n v="5"/>
    <n v="4"/>
    <x v="0"/>
    <n v="1"/>
    <n v="1966"/>
    <m/>
    <n v="4"/>
    <x v="0"/>
    <x v="3"/>
    <x v="0"/>
    <n v="9679"/>
    <x v="1"/>
    <s v="Jan"/>
  </r>
  <r>
    <n v="31"/>
    <x v="2"/>
    <x v="0"/>
    <m/>
    <m/>
    <s v="Travel_Frequently"/>
    <n v="754"/>
    <x v="0"/>
    <n v="26"/>
    <n v="4"/>
    <x v="3"/>
    <n v="1"/>
    <n v="1967"/>
    <m/>
    <n v="1"/>
    <x v="0"/>
    <x v="0"/>
    <x v="0"/>
    <n v="5617"/>
    <x v="0"/>
    <s v="Jan"/>
  </r>
  <r>
    <n v="53"/>
    <x v="1"/>
    <x v="0"/>
    <m/>
    <m/>
    <s v="Travel_Rarely"/>
    <n v="1168"/>
    <x v="0"/>
    <n v="24"/>
    <n v="4"/>
    <x v="0"/>
    <n v="1"/>
    <n v="1968"/>
    <m/>
    <n v="1"/>
    <x v="2"/>
    <x v="0"/>
    <x v="3"/>
    <n v="10448"/>
    <x v="0"/>
    <s v="Jan"/>
  </r>
  <r>
    <n v="54"/>
    <x v="1"/>
    <x v="1"/>
    <m/>
    <m/>
    <s v="Travel_Rarely"/>
    <n v="155"/>
    <x v="1"/>
    <n v="9"/>
    <n v="2"/>
    <x v="0"/>
    <n v="1"/>
    <n v="1969"/>
    <m/>
    <n v="1"/>
    <x v="0"/>
    <x v="1"/>
    <x v="2"/>
    <n v="2897"/>
    <x v="1"/>
    <s v="Jan"/>
  </r>
  <r>
    <n v="33"/>
    <x v="2"/>
    <x v="1"/>
    <m/>
    <m/>
    <s v="Travel_Frequently"/>
    <n v="1303"/>
    <x v="1"/>
    <n v="7"/>
    <n v="2"/>
    <x v="0"/>
    <n v="1"/>
    <n v="1970"/>
    <m/>
    <n v="4"/>
    <x v="0"/>
    <x v="4"/>
    <x v="2"/>
    <n v="5968"/>
    <x v="1"/>
    <s v="Jan"/>
  </r>
  <r>
    <n v="43"/>
    <x v="0"/>
    <x v="1"/>
    <m/>
    <m/>
    <s v="Travel_Rarely"/>
    <n v="574"/>
    <x v="1"/>
    <n v="11"/>
    <n v="3"/>
    <x v="0"/>
    <n v="1"/>
    <n v="1971"/>
    <m/>
    <n v="1"/>
    <x v="2"/>
    <x v="4"/>
    <x v="2"/>
    <n v="7510"/>
    <x v="1"/>
    <s v="Jan"/>
  </r>
  <r>
    <n v="38"/>
    <x v="0"/>
    <x v="1"/>
    <m/>
    <m/>
    <s v="Travel_Frequently"/>
    <n v="1444"/>
    <x v="2"/>
    <n v="1"/>
    <n v="4"/>
    <x v="1"/>
    <n v="1"/>
    <n v="1972"/>
    <m/>
    <n v="4"/>
    <x v="1"/>
    <x v="8"/>
    <x v="1"/>
    <n v="2991"/>
    <x v="0"/>
    <s v="Jan"/>
  </r>
  <r>
    <n v="55"/>
    <x v="3"/>
    <x v="1"/>
    <m/>
    <m/>
    <s v="Travel_Rarely"/>
    <n v="189"/>
    <x v="2"/>
    <n v="26"/>
    <n v="4"/>
    <x v="5"/>
    <n v="1"/>
    <n v="1973"/>
    <m/>
    <n v="3"/>
    <x v="4"/>
    <x v="5"/>
    <x v="1"/>
    <n v="19636"/>
    <x v="0"/>
    <s v="Jan"/>
  </r>
  <r>
    <n v="31"/>
    <x v="2"/>
    <x v="1"/>
    <m/>
    <m/>
    <s v="Travel_Rarely"/>
    <n v="1276"/>
    <x v="1"/>
    <n v="2"/>
    <n v="1"/>
    <x v="2"/>
    <n v="1"/>
    <n v="1974"/>
    <m/>
    <n v="4"/>
    <x v="1"/>
    <x v="2"/>
    <x v="0"/>
    <n v="1129"/>
    <x v="0"/>
    <s v="Jan"/>
  </r>
  <r>
    <n v="39"/>
    <x v="0"/>
    <x v="1"/>
    <m/>
    <m/>
    <s v="Travel_Rarely"/>
    <n v="119"/>
    <x v="0"/>
    <n v="15"/>
    <n v="4"/>
    <x v="3"/>
    <n v="1"/>
    <n v="1975"/>
    <m/>
    <n v="2"/>
    <x v="3"/>
    <x v="0"/>
    <x v="3"/>
    <n v="13341"/>
    <x v="1"/>
    <s v="Jan"/>
  </r>
  <r>
    <n v="42"/>
    <x v="0"/>
    <x v="1"/>
    <m/>
    <m/>
    <s v="Non-Travel"/>
    <n v="335"/>
    <x v="1"/>
    <n v="23"/>
    <n v="2"/>
    <x v="0"/>
    <n v="1"/>
    <n v="1976"/>
    <m/>
    <n v="4"/>
    <x v="0"/>
    <x v="1"/>
    <x v="2"/>
    <n v="4332"/>
    <x v="1"/>
    <s v="Jan"/>
  </r>
  <r>
    <n v="31"/>
    <x v="2"/>
    <x v="1"/>
    <m/>
    <m/>
    <s v="Non-Travel"/>
    <n v="697"/>
    <x v="1"/>
    <n v="10"/>
    <n v="3"/>
    <x v="2"/>
    <n v="1"/>
    <n v="1979"/>
    <m/>
    <n v="3"/>
    <x v="2"/>
    <x v="7"/>
    <x v="2"/>
    <n v="11031"/>
    <x v="1"/>
    <s v="Jan"/>
  </r>
  <r>
    <n v="54"/>
    <x v="1"/>
    <x v="1"/>
    <m/>
    <m/>
    <s v="Travel_Rarely"/>
    <n v="157"/>
    <x v="1"/>
    <n v="10"/>
    <n v="3"/>
    <x v="2"/>
    <n v="1"/>
    <n v="1980"/>
    <m/>
    <n v="3"/>
    <x v="0"/>
    <x v="3"/>
    <x v="3"/>
    <n v="4440"/>
    <x v="0"/>
    <s v="Jan"/>
  </r>
  <r>
    <n v="24"/>
    <x v="4"/>
    <x v="1"/>
    <m/>
    <m/>
    <s v="Travel_Rarely"/>
    <n v="771"/>
    <x v="1"/>
    <n v="1"/>
    <n v="2"/>
    <x v="0"/>
    <n v="1"/>
    <n v="1981"/>
    <m/>
    <n v="2"/>
    <x v="0"/>
    <x v="4"/>
    <x v="2"/>
    <n v="4617"/>
    <x v="1"/>
    <s v="Jan"/>
  </r>
  <r>
    <n v="23"/>
    <x v="4"/>
    <x v="1"/>
    <m/>
    <m/>
    <s v="Travel_Rarely"/>
    <n v="571"/>
    <x v="1"/>
    <n v="12"/>
    <n v="2"/>
    <x v="1"/>
    <n v="1"/>
    <n v="1982"/>
    <m/>
    <n v="4"/>
    <x v="1"/>
    <x v="2"/>
    <x v="0"/>
    <n v="2647"/>
    <x v="1"/>
    <s v="Jan"/>
  </r>
  <r>
    <n v="40"/>
    <x v="0"/>
    <x v="1"/>
    <m/>
    <m/>
    <s v="Travel_Frequently"/>
    <n v="692"/>
    <x v="1"/>
    <n v="11"/>
    <n v="3"/>
    <x v="4"/>
    <n v="1"/>
    <n v="1985"/>
    <m/>
    <n v="4"/>
    <x v="0"/>
    <x v="2"/>
    <x v="2"/>
    <n v="6323"/>
    <x v="1"/>
    <s v="Jan"/>
  </r>
  <r>
    <n v="40"/>
    <x v="0"/>
    <x v="1"/>
    <m/>
    <m/>
    <s v="Travel_Rarely"/>
    <n v="444"/>
    <x v="0"/>
    <n v="2"/>
    <n v="2"/>
    <x v="3"/>
    <n v="1"/>
    <n v="1986"/>
    <m/>
    <n v="2"/>
    <x v="0"/>
    <x v="0"/>
    <x v="1"/>
    <n v="5677"/>
    <x v="1"/>
    <s v="Jan"/>
  </r>
  <r>
    <n v="25"/>
    <x v="2"/>
    <x v="1"/>
    <m/>
    <m/>
    <s v="Travel_Rarely"/>
    <n v="309"/>
    <x v="2"/>
    <n v="2"/>
    <n v="3"/>
    <x v="5"/>
    <n v="1"/>
    <n v="1987"/>
    <m/>
    <n v="3"/>
    <x v="1"/>
    <x v="8"/>
    <x v="1"/>
    <n v="2187"/>
    <x v="1"/>
    <s v="Jan"/>
  </r>
  <r>
    <n v="30"/>
    <x v="2"/>
    <x v="1"/>
    <m/>
    <m/>
    <s v="Travel_Rarely"/>
    <n v="911"/>
    <x v="1"/>
    <n v="1"/>
    <n v="2"/>
    <x v="2"/>
    <n v="1"/>
    <n v="1989"/>
    <m/>
    <n v="4"/>
    <x v="1"/>
    <x v="2"/>
    <x v="1"/>
    <n v="3748"/>
    <x v="1"/>
    <s v="Jan"/>
  </r>
  <r>
    <n v="25"/>
    <x v="2"/>
    <x v="1"/>
    <m/>
    <m/>
    <s v="Travel_Rarely"/>
    <n v="977"/>
    <x v="1"/>
    <n v="2"/>
    <n v="1"/>
    <x v="1"/>
    <n v="1"/>
    <n v="1992"/>
    <m/>
    <n v="4"/>
    <x v="1"/>
    <x v="2"/>
    <x v="2"/>
    <n v="3977"/>
    <x v="0"/>
    <s v="Jan"/>
  </r>
  <r>
    <n v="47"/>
    <x v="1"/>
    <x v="1"/>
    <m/>
    <m/>
    <s v="Travel_Rarely"/>
    <n v="1180"/>
    <x v="1"/>
    <n v="25"/>
    <n v="3"/>
    <x v="2"/>
    <n v="1"/>
    <n v="1993"/>
    <m/>
    <n v="1"/>
    <x v="2"/>
    <x v="4"/>
    <x v="2"/>
    <n v="8633"/>
    <x v="1"/>
    <s v="Jan"/>
  </r>
  <r>
    <n v="33"/>
    <x v="2"/>
    <x v="1"/>
    <m/>
    <m/>
    <s v="Non-Travel"/>
    <n v="1313"/>
    <x v="1"/>
    <n v="1"/>
    <n v="2"/>
    <x v="2"/>
    <n v="1"/>
    <n v="1994"/>
    <m/>
    <n v="2"/>
    <x v="1"/>
    <x v="2"/>
    <x v="2"/>
    <n v="2008"/>
    <x v="1"/>
    <s v="Jan"/>
  </r>
  <r>
    <n v="38"/>
    <x v="0"/>
    <x v="1"/>
    <m/>
    <m/>
    <s v="Travel_Rarely"/>
    <n v="1321"/>
    <x v="0"/>
    <n v="1"/>
    <n v="4"/>
    <x v="0"/>
    <n v="1"/>
    <n v="1995"/>
    <m/>
    <n v="4"/>
    <x v="0"/>
    <x v="0"/>
    <x v="1"/>
    <n v="4440"/>
    <x v="1"/>
    <s v="Jan"/>
  </r>
  <r>
    <n v="31"/>
    <x v="2"/>
    <x v="1"/>
    <m/>
    <m/>
    <s v="Travel_Rarely"/>
    <n v="1154"/>
    <x v="0"/>
    <n v="2"/>
    <n v="2"/>
    <x v="0"/>
    <n v="1"/>
    <n v="1996"/>
    <m/>
    <n v="1"/>
    <x v="1"/>
    <x v="6"/>
    <x v="2"/>
    <n v="3067"/>
    <x v="1"/>
    <s v="Jan"/>
  </r>
  <r>
    <n v="38"/>
    <x v="0"/>
    <x v="1"/>
    <m/>
    <m/>
    <s v="Travel_Frequently"/>
    <n v="508"/>
    <x v="1"/>
    <n v="6"/>
    <n v="4"/>
    <x v="0"/>
    <n v="1"/>
    <n v="1997"/>
    <m/>
    <n v="1"/>
    <x v="0"/>
    <x v="3"/>
    <x v="2"/>
    <n v="5321"/>
    <x v="1"/>
    <s v="Jan"/>
  </r>
  <r>
    <n v="42"/>
    <x v="0"/>
    <x v="1"/>
    <m/>
    <m/>
    <s v="Travel_Rarely"/>
    <n v="557"/>
    <x v="1"/>
    <n v="18"/>
    <n v="4"/>
    <x v="0"/>
    <n v="1"/>
    <n v="1998"/>
    <m/>
    <n v="4"/>
    <x v="0"/>
    <x v="1"/>
    <x v="3"/>
    <n v="5410"/>
    <x v="0"/>
    <s v="Jan"/>
  </r>
  <r>
    <n v="41"/>
    <x v="0"/>
    <x v="1"/>
    <m/>
    <m/>
    <s v="Travel_Rarely"/>
    <n v="642"/>
    <x v="1"/>
    <n v="1"/>
    <n v="3"/>
    <x v="0"/>
    <n v="1"/>
    <n v="1999"/>
    <m/>
    <n v="4"/>
    <x v="1"/>
    <x v="1"/>
    <x v="0"/>
    <n v="2782"/>
    <x v="1"/>
    <s v="Jan"/>
  </r>
  <r>
    <n v="47"/>
    <x v="1"/>
    <x v="1"/>
    <m/>
    <m/>
    <s v="Non-Travel"/>
    <n v="1162"/>
    <x v="1"/>
    <n v="1"/>
    <n v="1"/>
    <x v="2"/>
    <n v="1"/>
    <n v="2000"/>
    <m/>
    <n v="3"/>
    <x v="2"/>
    <x v="7"/>
    <x v="1"/>
    <n v="11957"/>
    <x v="1"/>
    <s v="Jan"/>
  </r>
  <r>
    <n v="35"/>
    <x v="0"/>
    <x v="1"/>
    <m/>
    <m/>
    <s v="Travel_Rarely"/>
    <n v="1490"/>
    <x v="1"/>
    <n v="11"/>
    <n v="4"/>
    <x v="2"/>
    <n v="1"/>
    <n v="2003"/>
    <m/>
    <n v="4"/>
    <x v="1"/>
    <x v="2"/>
    <x v="2"/>
    <n v="2660"/>
    <x v="0"/>
    <s v="Jan"/>
  </r>
  <r>
    <n v="22"/>
    <x v="4"/>
    <x v="1"/>
    <m/>
    <m/>
    <s v="Travel_Rarely"/>
    <n v="581"/>
    <x v="1"/>
    <n v="1"/>
    <n v="2"/>
    <x v="0"/>
    <n v="1"/>
    <n v="2007"/>
    <m/>
    <n v="4"/>
    <x v="1"/>
    <x v="1"/>
    <x v="2"/>
    <n v="3375"/>
    <x v="1"/>
    <s v="Jan"/>
  </r>
  <r>
    <n v="35"/>
    <x v="0"/>
    <x v="1"/>
    <m/>
    <m/>
    <s v="Travel_Rarely"/>
    <n v="1395"/>
    <x v="1"/>
    <n v="9"/>
    <n v="4"/>
    <x v="2"/>
    <n v="1"/>
    <n v="2008"/>
    <m/>
    <n v="2"/>
    <x v="0"/>
    <x v="1"/>
    <x v="2"/>
    <n v="5098"/>
    <x v="1"/>
    <s v="Jan"/>
  </r>
  <r>
    <n v="33"/>
    <x v="2"/>
    <x v="1"/>
    <m/>
    <m/>
    <s v="Travel_Rarely"/>
    <n v="501"/>
    <x v="1"/>
    <n v="15"/>
    <n v="2"/>
    <x v="2"/>
    <n v="1"/>
    <n v="2009"/>
    <m/>
    <n v="2"/>
    <x v="0"/>
    <x v="4"/>
    <x v="0"/>
    <n v="4878"/>
    <x v="0"/>
    <s v="Jan"/>
  </r>
  <r>
    <n v="32"/>
    <x v="2"/>
    <x v="1"/>
    <m/>
    <m/>
    <s v="Travel_Rarely"/>
    <n v="267"/>
    <x v="1"/>
    <n v="29"/>
    <n v="4"/>
    <x v="0"/>
    <n v="1"/>
    <n v="2010"/>
    <m/>
    <n v="3"/>
    <x v="1"/>
    <x v="2"/>
    <x v="1"/>
    <n v="2837"/>
    <x v="1"/>
    <s v="Jan"/>
  </r>
  <r>
    <n v="40"/>
    <x v="0"/>
    <x v="1"/>
    <m/>
    <m/>
    <s v="Travel_Rarely"/>
    <n v="543"/>
    <x v="1"/>
    <n v="1"/>
    <n v="4"/>
    <x v="0"/>
    <n v="1"/>
    <n v="2012"/>
    <m/>
    <n v="1"/>
    <x v="1"/>
    <x v="2"/>
    <x v="0"/>
    <n v="2406"/>
    <x v="1"/>
    <s v="Jan"/>
  </r>
  <r>
    <n v="32"/>
    <x v="2"/>
    <x v="1"/>
    <m/>
    <m/>
    <s v="Travel_Rarely"/>
    <n v="234"/>
    <x v="0"/>
    <n v="1"/>
    <n v="4"/>
    <x v="2"/>
    <n v="1"/>
    <n v="2013"/>
    <m/>
    <n v="2"/>
    <x v="1"/>
    <x v="6"/>
    <x v="1"/>
    <n v="2269"/>
    <x v="1"/>
    <s v="Jan"/>
  </r>
  <r>
    <n v="39"/>
    <x v="0"/>
    <x v="1"/>
    <m/>
    <m/>
    <s v="Travel_Rarely"/>
    <n v="116"/>
    <x v="1"/>
    <n v="24"/>
    <n v="1"/>
    <x v="0"/>
    <n v="1"/>
    <n v="2014"/>
    <m/>
    <n v="1"/>
    <x v="0"/>
    <x v="1"/>
    <x v="0"/>
    <n v="4108"/>
    <x v="1"/>
    <s v="Jan"/>
  </r>
  <r>
    <n v="38"/>
    <x v="0"/>
    <x v="1"/>
    <m/>
    <m/>
    <s v="Travel_Rarely"/>
    <n v="201"/>
    <x v="1"/>
    <n v="10"/>
    <n v="3"/>
    <x v="2"/>
    <n v="1"/>
    <n v="2015"/>
    <m/>
    <n v="2"/>
    <x v="2"/>
    <x v="7"/>
    <x v="2"/>
    <n v="13206"/>
    <x v="1"/>
    <s v="Jan"/>
  </r>
  <r>
    <n v="32"/>
    <x v="2"/>
    <x v="1"/>
    <m/>
    <m/>
    <s v="Travel_Rarely"/>
    <n v="801"/>
    <x v="0"/>
    <n v="1"/>
    <n v="4"/>
    <x v="3"/>
    <n v="1"/>
    <n v="2016"/>
    <m/>
    <n v="3"/>
    <x v="2"/>
    <x v="0"/>
    <x v="0"/>
    <n v="10422"/>
    <x v="1"/>
    <s v="Jan"/>
  </r>
  <r>
    <n v="37"/>
    <x v="0"/>
    <x v="1"/>
    <m/>
    <m/>
    <s v="Travel_Rarely"/>
    <n v="161"/>
    <x v="1"/>
    <n v="10"/>
    <n v="3"/>
    <x v="0"/>
    <n v="1"/>
    <n v="2017"/>
    <m/>
    <n v="3"/>
    <x v="2"/>
    <x v="7"/>
    <x v="0"/>
    <n v="13744"/>
    <x v="0"/>
    <s v="Jan"/>
  </r>
  <r>
    <n v="25"/>
    <x v="2"/>
    <x v="1"/>
    <m/>
    <m/>
    <s v="Travel_Rarely"/>
    <n v="1382"/>
    <x v="0"/>
    <n v="8"/>
    <n v="2"/>
    <x v="1"/>
    <n v="1"/>
    <n v="2018"/>
    <m/>
    <n v="1"/>
    <x v="0"/>
    <x v="0"/>
    <x v="2"/>
    <n v="4907"/>
    <x v="0"/>
    <s v="Jan"/>
  </r>
  <r>
    <n v="52"/>
    <x v="1"/>
    <x v="1"/>
    <m/>
    <m/>
    <s v="Non-Travel"/>
    <n v="585"/>
    <x v="0"/>
    <n v="29"/>
    <n v="4"/>
    <x v="0"/>
    <n v="1"/>
    <n v="2019"/>
    <m/>
    <n v="1"/>
    <x v="1"/>
    <x v="6"/>
    <x v="0"/>
    <n v="3482"/>
    <x v="1"/>
    <s v="Jan"/>
  </r>
  <r>
    <n v="44"/>
    <x v="0"/>
    <x v="1"/>
    <m/>
    <m/>
    <s v="Travel_Rarely"/>
    <n v="1037"/>
    <x v="1"/>
    <n v="1"/>
    <n v="3"/>
    <x v="2"/>
    <n v="1"/>
    <n v="2020"/>
    <m/>
    <n v="2"/>
    <x v="1"/>
    <x v="1"/>
    <x v="0"/>
    <n v="2436"/>
    <x v="0"/>
    <s v="Jan"/>
  </r>
  <r>
    <n v="21"/>
    <x v="4"/>
    <x v="1"/>
    <m/>
    <m/>
    <s v="Travel_Rarely"/>
    <n v="501"/>
    <x v="0"/>
    <n v="5"/>
    <n v="1"/>
    <x v="2"/>
    <n v="1"/>
    <n v="2021"/>
    <m/>
    <n v="3"/>
    <x v="1"/>
    <x v="6"/>
    <x v="3"/>
    <n v="2380"/>
    <x v="0"/>
    <s v="Jan"/>
  </r>
  <r>
    <n v="39"/>
    <x v="0"/>
    <x v="1"/>
    <m/>
    <m/>
    <s v="Non-Travel"/>
    <n v="105"/>
    <x v="1"/>
    <n v="9"/>
    <n v="3"/>
    <x v="0"/>
    <n v="1"/>
    <n v="2022"/>
    <m/>
    <n v="4"/>
    <x v="4"/>
    <x v="5"/>
    <x v="0"/>
    <n v="19431"/>
    <x v="1"/>
    <s v="Jan"/>
  </r>
  <r>
    <n v="23"/>
    <x v="4"/>
    <x v="0"/>
    <m/>
    <m/>
    <s v="Travel_Frequently"/>
    <n v="638"/>
    <x v="0"/>
    <n v="9"/>
    <n v="3"/>
    <x v="3"/>
    <n v="1"/>
    <n v="2023"/>
    <m/>
    <n v="4"/>
    <x v="1"/>
    <x v="6"/>
    <x v="3"/>
    <n v="1790"/>
    <x v="1"/>
    <s v="Jan"/>
  </r>
  <r>
    <n v="36"/>
    <x v="0"/>
    <x v="1"/>
    <m/>
    <m/>
    <s v="Travel_Rarely"/>
    <n v="557"/>
    <x v="0"/>
    <n v="3"/>
    <n v="3"/>
    <x v="2"/>
    <n v="1"/>
    <n v="2024"/>
    <m/>
    <n v="1"/>
    <x v="2"/>
    <x v="0"/>
    <x v="0"/>
    <n v="7644"/>
    <x v="1"/>
    <s v="Jan"/>
  </r>
  <r>
    <n v="36"/>
    <x v="0"/>
    <x v="1"/>
    <m/>
    <m/>
    <s v="Travel_Frequently"/>
    <n v="688"/>
    <x v="1"/>
    <n v="4"/>
    <n v="2"/>
    <x v="0"/>
    <n v="1"/>
    <n v="2025"/>
    <m/>
    <n v="4"/>
    <x v="0"/>
    <x v="3"/>
    <x v="1"/>
    <n v="5131"/>
    <x v="1"/>
    <s v="Jan"/>
  </r>
  <r>
    <n v="56"/>
    <x v="3"/>
    <x v="1"/>
    <m/>
    <m/>
    <s v="Non-Travel"/>
    <n v="667"/>
    <x v="1"/>
    <n v="1"/>
    <n v="4"/>
    <x v="0"/>
    <n v="1"/>
    <n v="2026"/>
    <m/>
    <n v="3"/>
    <x v="0"/>
    <x v="4"/>
    <x v="2"/>
    <n v="6306"/>
    <x v="1"/>
    <s v="Jan"/>
  </r>
  <r>
    <n v="29"/>
    <x v="2"/>
    <x v="0"/>
    <m/>
    <m/>
    <s v="Travel_Rarely"/>
    <n v="1092"/>
    <x v="1"/>
    <n v="1"/>
    <n v="4"/>
    <x v="2"/>
    <n v="1"/>
    <n v="2027"/>
    <m/>
    <n v="1"/>
    <x v="1"/>
    <x v="1"/>
    <x v="0"/>
    <n v="4787"/>
    <x v="0"/>
    <s v="Jan"/>
  </r>
  <r>
    <n v="42"/>
    <x v="0"/>
    <x v="1"/>
    <m/>
    <m/>
    <s v="Travel_Rarely"/>
    <n v="300"/>
    <x v="1"/>
    <n v="2"/>
    <n v="3"/>
    <x v="0"/>
    <n v="1"/>
    <n v="2031"/>
    <m/>
    <n v="1"/>
    <x v="4"/>
    <x v="5"/>
    <x v="2"/>
    <n v="18880"/>
    <x v="1"/>
    <s v="Jan"/>
  </r>
  <r>
    <n v="56"/>
    <x v="3"/>
    <x v="0"/>
    <m/>
    <m/>
    <s v="Travel_Rarely"/>
    <n v="310"/>
    <x v="1"/>
    <n v="7"/>
    <n v="2"/>
    <x v="4"/>
    <n v="1"/>
    <n v="2032"/>
    <m/>
    <n v="4"/>
    <x v="1"/>
    <x v="2"/>
    <x v="2"/>
    <n v="2339"/>
    <x v="1"/>
    <s v="Jan"/>
  </r>
  <r>
    <n v="41"/>
    <x v="0"/>
    <x v="1"/>
    <m/>
    <m/>
    <s v="Travel_Rarely"/>
    <n v="582"/>
    <x v="1"/>
    <n v="28"/>
    <n v="4"/>
    <x v="0"/>
    <n v="1"/>
    <n v="2034"/>
    <m/>
    <n v="1"/>
    <x v="3"/>
    <x v="3"/>
    <x v="1"/>
    <n v="13570"/>
    <x v="1"/>
    <s v="Jan"/>
  </r>
  <r>
    <n v="34"/>
    <x v="2"/>
    <x v="1"/>
    <m/>
    <m/>
    <s v="Travel_Rarely"/>
    <n v="704"/>
    <x v="0"/>
    <n v="28"/>
    <n v="3"/>
    <x v="3"/>
    <n v="1"/>
    <n v="2035"/>
    <m/>
    <n v="4"/>
    <x v="0"/>
    <x v="0"/>
    <x v="2"/>
    <n v="6712"/>
    <x v="1"/>
    <s v="Jan"/>
  </r>
  <r>
    <n v="36"/>
    <x v="0"/>
    <x v="1"/>
    <m/>
    <m/>
    <s v="Non-Travel"/>
    <n v="301"/>
    <x v="0"/>
    <n v="15"/>
    <n v="4"/>
    <x v="3"/>
    <n v="1"/>
    <n v="2036"/>
    <m/>
    <n v="4"/>
    <x v="0"/>
    <x v="0"/>
    <x v="0"/>
    <n v="5406"/>
    <x v="1"/>
    <s v="Jan"/>
  </r>
  <r>
    <n v="41"/>
    <x v="0"/>
    <x v="1"/>
    <m/>
    <m/>
    <s v="Travel_Rarely"/>
    <n v="930"/>
    <x v="0"/>
    <n v="3"/>
    <n v="3"/>
    <x v="0"/>
    <n v="1"/>
    <n v="2037"/>
    <m/>
    <n v="3"/>
    <x v="0"/>
    <x v="0"/>
    <x v="1"/>
    <n v="8938"/>
    <x v="1"/>
    <s v="Jan"/>
  </r>
  <r>
    <n v="32"/>
    <x v="2"/>
    <x v="1"/>
    <m/>
    <m/>
    <s v="Travel_Rarely"/>
    <n v="529"/>
    <x v="1"/>
    <n v="2"/>
    <n v="3"/>
    <x v="4"/>
    <n v="1"/>
    <n v="2038"/>
    <m/>
    <n v="4"/>
    <x v="1"/>
    <x v="1"/>
    <x v="3"/>
    <n v="2439"/>
    <x v="1"/>
    <s v="Jan"/>
  </r>
  <r>
    <n v="35"/>
    <x v="0"/>
    <x v="1"/>
    <m/>
    <m/>
    <s v="Travel_Rarely"/>
    <n v="1146"/>
    <x v="2"/>
    <n v="26"/>
    <n v="4"/>
    <x v="0"/>
    <n v="1"/>
    <n v="2040"/>
    <m/>
    <n v="3"/>
    <x v="2"/>
    <x v="8"/>
    <x v="0"/>
    <n v="8837"/>
    <x v="0"/>
    <s v="Jan"/>
  </r>
  <r>
    <n v="38"/>
    <x v="0"/>
    <x v="1"/>
    <m/>
    <m/>
    <s v="Travel_Rarely"/>
    <n v="345"/>
    <x v="0"/>
    <n v="10"/>
    <n v="2"/>
    <x v="0"/>
    <n v="1"/>
    <n v="2041"/>
    <m/>
    <n v="1"/>
    <x v="0"/>
    <x v="0"/>
    <x v="0"/>
    <n v="5343"/>
    <x v="1"/>
    <s v="Jan"/>
  </r>
  <r>
    <n v="50"/>
    <x v="1"/>
    <x v="0"/>
    <m/>
    <m/>
    <s v="Travel_Frequently"/>
    <n v="878"/>
    <x v="0"/>
    <n v="1"/>
    <n v="4"/>
    <x v="0"/>
    <n v="1"/>
    <n v="2044"/>
    <m/>
    <n v="2"/>
    <x v="0"/>
    <x v="0"/>
    <x v="2"/>
    <n v="6728"/>
    <x v="1"/>
    <s v="Jan"/>
  </r>
  <r>
    <n v="36"/>
    <x v="0"/>
    <x v="1"/>
    <m/>
    <m/>
    <s v="Travel_Rarely"/>
    <n v="1120"/>
    <x v="0"/>
    <n v="11"/>
    <n v="4"/>
    <x v="3"/>
    <n v="1"/>
    <n v="2045"/>
    <m/>
    <n v="2"/>
    <x v="0"/>
    <x v="0"/>
    <x v="0"/>
    <n v="6652"/>
    <x v="1"/>
    <s v="Jan"/>
  </r>
  <r>
    <n v="45"/>
    <x v="1"/>
    <x v="1"/>
    <m/>
    <m/>
    <s v="Travel_Rarely"/>
    <n v="374"/>
    <x v="0"/>
    <n v="20"/>
    <n v="3"/>
    <x v="0"/>
    <n v="1"/>
    <n v="2046"/>
    <m/>
    <n v="4"/>
    <x v="0"/>
    <x v="0"/>
    <x v="2"/>
    <n v="4850"/>
    <x v="1"/>
    <s v="Jan"/>
  </r>
  <r>
    <n v="40"/>
    <x v="0"/>
    <x v="1"/>
    <m/>
    <m/>
    <s v="Travel_Rarely"/>
    <n v="1322"/>
    <x v="1"/>
    <n v="2"/>
    <n v="4"/>
    <x v="0"/>
    <n v="1"/>
    <n v="2048"/>
    <m/>
    <n v="3"/>
    <x v="1"/>
    <x v="1"/>
    <x v="2"/>
    <n v="2809"/>
    <x v="1"/>
    <s v="Jan"/>
  </r>
  <r>
    <n v="35"/>
    <x v="0"/>
    <x v="1"/>
    <m/>
    <m/>
    <s v="Travel_Frequently"/>
    <n v="1199"/>
    <x v="1"/>
    <n v="18"/>
    <n v="4"/>
    <x v="0"/>
    <n v="1"/>
    <n v="2049"/>
    <m/>
    <n v="3"/>
    <x v="0"/>
    <x v="4"/>
    <x v="2"/>
    <n v="5689"/>
    <x v="0"/>
    <s v="Jan"/>
  </r>
  <r>
    <n v="40"/>
    <x v="0"/>
    <x v="1"/>
    <m/>
    <m/>
    <s v="Travel_Rarely"/>
    <n v="1194"/>
    <x v="1"/>
    <n v="2"/>
    <n v="4"/>
    <x v="2"/>
    <n v="1"/>
    <n v="2051"/>
    <m/>
    <n v="3"/>
    <x v="1"/>
    <x v="1"/>
    <x v="2"/>
    <n v="2001"/>
    <x v="1"/>
    <s v="Jan"/>
  </r>
  <r>
    <n v="35"/>
    <x v="0"/>
    <x v="1"/>
    <m/>
    <m/>
    <s v="Travel_Rarely"/>
    <n v="287"/>
    <x v="1"/>
    <n v="1"/>
    <n v="4"/>
    <x v="0"/>
    <n v="1"/>
    <n v="2052"/>
    <m/>
    <n v="3"/>
    <x v="1"/>
    <x v="1"/>
    <x v="0"/>
    <n v="2977"/>
    <x v="1"/>
    <s v="Jan"/>
  </r>
  <r>
    <n v="29"/>
    <x v="2"/>
    <x v="1"/>
    <m/>
    <m/>
    <s v="Travel_Rarely"/>
    <n v="1378"/>
    <x v="1"/>
    <n v="13"/>
    <n v="2"/>
    <x v="1"/>
    <n v="1"/>
    <n v="2053"/>
    <m/>
    <n v="4"/>
    <x v="0"/>
    <x v="2"/>
    <x v="1"/>
    <n v="4025"/>
    <x v="0"/>
    <s v="Jan"/>
  </r>
  <r>
    <n v="29"/>
    <x v="2"/>
    <x v="1"/>
    <m/>
    <m/>
    <s v="Travel_Rarely"/>
    <n v="468"/>
    <x v="1"/>
    <n v="28"/>
    <n v="4"/>
    <x v="2"/>
    <n v="1"/>
    <n v="2054"/>
    <m/>
    <n v="4"/>
    <x v="1"/>
    <x v="1"/>
    <x v="3"/>
    <n v="3785"/>
    <x v="1"/>
    <s v="Jan"/>
  </r>
  <r>
    <n v="50"/>
    <x v="1"/>
    <x v="0"/>
    <m/>
    <m/>
    <s v="Travel_Rarely"/>
    <n v="410"/>
    <x v="0"/>
    <n v="28"/>
    <n v="3"/>
    <x v="3"/>
    <n v="1"/>
    <n v="2055"/>
    <m/>
    <n v="4"/>
    <x v="2"/>
    <x v="0"/>
    <x v="3"/>
    <n v="10854"/>
    <x v="0"/>
    <s v="Jan"/>
  </r>
  <r>
    <n v="39"/>
    <x v="0"/>
    <x v="1"/>
    <m/>
    <m/>
    <s v="Travel_Rarely"/>
    <n v="722"/>
    <x v="0"/>
    <n v="24"/>
    <n v="1"/>
    <x v="3"/>
    <n v="1"/>
    <n v="2056"/>
    <m/>
    <n v="2"/>
    <x v="3"/>
    <x v="0"/>
    <x v="0"/>
    <n v="12031"/>
    <x v="1"/>
    <s v="Jan"/>
  </r>
  <r>
    <n v="31"/>
    <x v="2"/>
    <x v="1"/>
    <m/>
    <m/>
    <s v="Non-Travel"/>
    <n v="325"/>
    <x v="1"/>
    <n v="5"/>
    <n v="3"/>
    <x v="2"/>
    <n v="1"/>
    <n v="2057"/>
    <m/>
    <n v="2"/>
    <x v="0"/>
    <x v="3"/>
    <x v="3"/>
    <n v="9936"/>
    <x v="1"/>
    <s v="Jan"/>
  </r>
  <r>
    <n v="26"/>
    <x v="2"/>
    <x v="1"/>
    <m/>
    <m/>
    <s v="Travel_Rarely"/>
    <n v="1167"/>
    <x v="0"/>
    <n v="5"/>
    <n v="3"/>
    <x v="1"/>
    <n v="1"/>
    <n v="2060"/>
    <m/>
    <n v="4"/>
    <x v="1"/>
    <x v="6"/>
    <x v="2"/>
    <n v="2966"/>
    <x v="1"/>
    <s v="Jan"/>
  </r>
  <r>
    <n v="36"/>
    <x v="0"/>
    <x v="1"/>
    <m/>
    <m/>
    <s v="Travel_Frequently"/>
    <n v="884"/>
    <x v="1"/>
    <n v="23"/>
    <n v="2"/>
    <x v="2"/>
    <n v="1"/>
    <n v="2061"/>
    <m/>
    <n v="3"/>
    <x v="0"/>
    <x v="2"/>
    <x v="0"/>
    <n v="2571"/>
    <x v="1"/>
    <s v="Jan"/>
  </r>
  <r>
    <n v="39"/>
    <x v="0"/>
    <x v="1"/>
    <m/>
    <m/>
    <s v="Travel_Rarely"/>
    <n v="613"/>
    <x v="1"/>
    <n v="6"/>
    <n v="1"/>
    <x v="2"/>
    <n v="1"/>
    <n v="2062"/>
    <m/>
    <n v="4"/>
    <x v="2"/>
    <x v="4"/>
    <x v="3"/>
    <n v="9991"/>
    <x v="1"/>
    <s v="Jan"/>
  </r>
  <r>
    <n v="27"/>
    <x v="2"/>
    <x v="1"/>
    <m/>
    <m/>
    <s v="Travel_Rarely"/>
    <n v="155"/>
    <x v="1"/>
    <n v="4"/>
    <n v="3"/>
    <x v="0"/>
    <n v="1"/>
    <n v="2064"/>
    <m/>
    <n v="2"/>
    <x v="0"/>
    <x v="3"/>
    <x v="1"/>
    <n v="6142"/>
    <x v="0"/>
    <s v="Jan"/>
  </r>
  <r>
    <n v="49"/>
    <x v="1"/>
    <x v="1"/>
    <m/>
    <m/>
    <s v="Travel_Frequently"/>
    <n v="1023"/>
    <x v="0"/>
    <n v="2"/>
    <n v="3"/>
    <x v="2"/>
    <n v="1"/>
    <n v="2065"/>
    <m/>
    <n v="4"/>
    <x v="0"/>
    <x v="0"/>
    <x v="1"/>
    <n v="5390"/>
    <x v="1"/>
    <s v="Jan"/>
  </r>
  <r>
    <n v="34"/>
    <x v="2"/>
    <x v="1"/>
    <m/>
    <m/>
    <s v="Travel_Rarely"/>
    <n v="628"/>
    <x v="1"/>
    <n v="8"/>
    <n v="3"/>
    <x v="2"/>
    <n v="1"/>
    <n v="2068"/>
    <m/>
    <n v="2"/>
    <x v="0"/>
    <x v="2"/>
    <x v="2"/>
    <n v="4404"/>
    <x v="1"/>
    <s v="Jan"/>
  </r>
  <r>
    <m/>
    <x v="5"/>
    <x v="2"/>
    <m/>
    <m/>
    <m/>
    <m/>
    <x v="3"/>
    <m/>
    <m/>
    <x v="6"/>
    <m/>
    <m/>
    <m/>
    <m/>
    <x v="5"/>
    <x v="9"/>
    <x v="4"/>
    <m/>
    <x v="2"/>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F0B380-5909-4209-8C8A-6C2B27906A51}"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Age Group">
  <location ref="A39:B45" firstHeaderRow="1" firstDataRow="1" firstDataCol="1" rowPageCount="1" colPageCount="1"/>
  <pivotFields count="21">
    <pivotField showAll="0"/>
    <pivotField axis="axisRow" showAll="0">
      <items count="7">
        <item x="4"/>
        <item x="2"/>
        <item x="0"/>
        <item x="1"/>
        <item x="3"/>
        <item h="1" x="5"/>
        <item t="default"/>
      </items>
    </pivotField>
    <pivotField axis="axisPage" showAll="0">
      <items count="4">
        <item x="1"/>
        <item x="0"/>
        <item x="2"/>
        <item t="default"/>
      </items>
    </pivotField>
    <pivotField showAll="0"/>
    <pivotField showAll="0"/>
    <pivotField showAll="0"/>
    <pivotField showAll="0"/>
    <pivotField showAll="0">
      <items count="5">
        <item h="1" x="2"/>
        <item x="1"/>
        <item h="1" x="0"/>
        <item h="1" x="3"/>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Items count="1">
    <i/>
  </colItems>
  <pageFields count="1">
    <pageField fld="2" hier="-1"/>
  </pageFields>
  <dataFields count="1">
    <dataField name="Sum of EmployeeNumber2" fld="12" baseField="0" baseItem="0"/>
  </dataFields>
  <chartFormats count="1">
    <chartFormat chart="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413B9F-B0DD-4178-BA14-E3D05B82CF39}"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rowHeaderCaption="Attrition Rate">
  <location ref="A30:B33" firstHeaderRow="1" firstDataRow="1" firstDataCol="1"/>
  <pivotFields count="21">
    <pivotField showAll="0"/>
    <pivotField showAll="0"/>
    <pivotField axis="axisRow" showAll="0">
      <items count="4">
        <item x="1"/>
        <item x="0"/>
        <item h="1" x="2"/>
        <item t="default"/>
      </items>
    </pivotField>
    <pivotField showAll="0"/>
    <pivotField showAll="0"/>
    <pivotField showAll="0"/>
    <pivotField showAll="0"/>
    <pivotField showAll="0">
      <items count="5">
        <item h="1" x="2"/>
        <item x="1"/>
        <item h="1" x="0"/>
        <item h="1" x="3"/>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Employee" fld="12" baseField="0" baseItem="0"/>
  </dataFields>
  <chartFormats count="6">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2" count="1" selected="0">
            <x v="0"/>
          </reference>
        </references>
      </pivotArea>
    </chartFormat>
    <chartFormat chart="5" format="2">
      <pivotArea type="data" outline="0" fieldPosition="0">
        <references count="2">
          <reference field="4294967294" count="1" selected="0">
            <x v="0"/>
          </reference>
          <reference field="2" count="1" selected="0">
            <x v="1"/>
          </reference>
        </references>
      </pivotArea>
    </chartFormat>
    <chartFormat chart="15" format="6" series="1">
      <pivotArea type="data" outline="0" fieldPosition="0">
        <references count="1">
          <reference field="4294967294" count="1" selected="0">
            <x v="0"/>
          </reference>
        </references>
      </pivotArea>
    </chartFormat>
    <chartFormat chart="15" format="7">
      <pivotArea type="data" outline="0" fieldPosition="0">
        <references count="2">
          <reference field="4294967294" count="1" selected="0">
            <x v="0"/>
          </reference>
          <reference field="2" count="1" selected="0">
            <x v="0"/>
          </reference>
        </references>
      </pivotArea>
    </chartFormat>
    <chartFormat chart="15" format="8">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505761D-326A-4603-9CB3-D85734318730}"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Education Field">
  <location ref="A16:B21" firstHeaderRow="1" firstDataRow="1" firstDataCol="1" rowPageCount="1" colPageCount="1"/>
  <pivotFields count="21">
    <pivotField showAll="0"/>
    <pivotField showAll="0"/>
    <pivotField axis="axisPage" showAll="0">
      <items count="4">
        <item x="1"/>
        <item x="0"/>
        <item x="2"/>
        <item t="default"/>
      </items>
    </pivotField>
    <pivotField showAll="0"/>
    <pivotField showAll="0"/>
    <pivotField showAll="0"/>
    <pivotField showAll="0"/>
    <pivotField showAll="0">
      <items count="5">
        <item h="1" x="2"/>
        <item x="1"/>
        <item h="1" x="0"/>
        <item h="1" x="3"/>
        <item t="default"/>
      </items>
    </pivotField>
    <pivotField showAll="0"/>
    <pivotField showAll="0"/>
    <pivotField axis="axisRow" showAll="0">
      <items count="8">
        <item x="5"/>
        <item x="0"/>
        <item x="3"/>
        <item x="2"/>
        <item x="1"/>
        <item x="4"/>
        <item x="6"/>
        <item t="default"/>
      </items>
    </pivotField>
    <pivotField showAll="0"/>
    <pivotField dataField="1" showAll="0"/>
    <pivotField showAll="0"/>
    <pivotField showAll="0"/>
    <pivotField showAll="0"/>
    <pivotField showAll="0"/>
    <pivotField showAll="0"/>
    <pivotField showAll="0"/>
    <pivotField showAll="0"/>
    <pivotField showAll="0"/>
  </pivotFields>
  <rowFields count="1">
    <field x="10"/>
  </rowFields>
  <rowItems count="5">
    <i>
      <x v="1"/>
    </i>
    <i>
      <x v="3"/>
    </i>
    <i>
      <x v="4"/>
    </i>
    <i>
      <x v="5"/>
    </i>
    <i t="grand">
      <x/>
    </i>
  </rowItems>
  <colItems count="1">
    <i/>
  </colItems>
  <pageFields count="1">
    <pageField fld="2" item="1" hier="-1"/>
  </pageFields>
  <dataFields count="1">
    <dataField name="Sum of EmployeeNumber" fld="12" baseField="0" baseItem="0"/>
  </dataFields>
  <chartFormats count="2">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A0E5D7E-5AD1-4B31-B549-3AC26178128E}"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rowHeaderCaption="Job Satisfaction">
  <location ref="A3:B8" firstHeaderRow="1" firstDataRow="1" firstDataCol="1" rowPageCount="1" colPageCount="1"/>
  <pivotFields count="21">
    <pivotField showAll="0"/>
    <pivotField showAll="0"/>
    <pivotField axis="axisPage" multipleItemSelectionAllowed="1" showAll="0">
      <items count="4">
        <item x="1"/>
        <item x="0"/>
        <item h="1" x="2"/>
        <item t="default"/>
      </items>
    </pivotField>
    <pivotField showAll="0"/>
    <pivotField showAll="0"/>
    <pivotField showAll="0"/>
    <pivotField showAll="0"/>
    <pivotField showAll="0">
      <items count="5">
        <item h="1" x="2"/>
        <item x="1"/>
        <item h="1" x="0"/>
        <item h="1" x="3"/>
        <item t="default"/>
      </items>
    </pivotField>
    <pivotField showAll="0"/>
    <pivotField showAll="0"/>
    <pivotField showAll="0"/>
    <pivotField showAll="0"/>
    <pivotField dataField="1" showAll="0"/>
    <pivotField showAll="0"/>
    <pivotField showAll="0"/>
    <pivotField showAll="0"/>
    <pivotField showAll="0">
      <items count="11">
        <item x="4"/>
        <item h="1" x="8"/>
        <item h="1" x="2"/>
        <item h="1" x="5"/>
        <item h="1" x="3"/>
        <item h="1" x="7"/>
        <item h="1" x="1"/>
        <item h="1" x="0"/>
        <item h="1" x="6"/>
        <item h="1" x="9"/>
        <item t="default"/>
      </items>
    </pivotField>
    <pivotField axis="axisRow" showAll="0">
      <items count="6">
        <item x="3"/>
        <item x="1"/>
        <item x="2"/>
        <item x="0"/>
        <item h="1" x="4"/>
        <item t="default"/>
      </items>
    </pivotField>
    <pivotField showAll="0"/>
    <pivotField showAll="0"/>
    <pivotField showAll="0"/>
  </pivotFields>
  <rowFields count="1">
    <field x="17"/>
  </rowFields>
  <rowItems count="5">
    <i>
      <x/>
    </i>
    <i>
      <x v="1"/>
    </i>
    <i>
      <x v="2"/>
    </i>
    <i>
      <x v="3"/>
    </i>
    <i t="grand">
      <x/>
    </i>
  </rowItems>
  <colItems count="1">
    <i/>
  </colItems>
  <pageFields count="1">
    <pageField fld="2" hier="-1"/>
  </pageFields>
  <dataFields count="1">
    <dataField name="Sum of EmployeeNumber" fld="12" baseField="0" baseItem="0"/>
  </dataFields>
  <chartFormats count="2">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5030F75-5D92-4D5B-89EA-8FED3EEA02D5}"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ge Group">
  <location ref="A51:B54" firstHeaderRow="1" firstDataRow="1" firstDataCol="1"/>
  <pivotFields count="21">
    <pivotField showAll="0"/>
    <pivotField showAll="0"/>
    <pivotField axis="axisRow" showAll="0">
      <items count="4">
        <item x="1"/>
        <item x="0"/>
        <item h="1" x="2"/>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EmployeeNumber2"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CC67F2-53EC-4363-8239-318B71B216C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7" firstHeaderRow="1" firstDataRow="1" firstDataCol="1" rowPageCount="1" colPageCount="1"/>
  <pivotFields count="21">
    <pivotField showAll="0"/>
    <pivotField showAll="0"/>
    <pivotField axis="axisPage" multipleItemSelectionAllowed="1" showAll="0">
      <items count="4">
        <item x="1"/>
        <item x="0"/>
        <item h="1" x="2"/>
        <item t="default"/>
      </items>
    </pivotField>
    <pivotField showAll="0"/>
    <pivotField showAll="0"/>
    <pivotField showAll="0"/>
    <pivotField showAll="0"/>
    <pivotField axis="axisRow" showAll="0">
      <items count="5">
        <item x="2"/>
        <item x="1"/>
        <item x="0"/>
        <item h="1" x="3"/>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7"/>
  </rowFields>
  <rowItems count="4">
    <i>
      <x/>
    </i>
    <i>
      <x v="1"/>
    </i>
    <i>
      <x v="2"/>
    </i>
    <i t="grand">
      <x/>
    </i>
  </rowItems>
  <colItems count="1">
    <i/>
  </colItems>
  <pageFields count="1">
    <pageField fld="2" hier="-1"/>
  </pageFields>
  <dataFields count="1">
    <dataField name="Sum of EmployeeCount" fld="11" baseField="0" baseItem="0"/>
  </dataFields>
  <chartFormats count="2">
    <chartFormat chart="1"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F1EE327-8994-450F-9C11-A94DD356D80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6:B22" firstHeaderRow="1" firstDataRow="1" firstDataCol="1" rowPageCount="1" colPageCount="1"/>
  <pivotFields count="21">
    <pivotField showAll="0"/>
    <pivotField axis="axisRow" showAll="0">
      <items count="7">
        <item x="4"/>
        <item x="2"/>
        <item x="0"/>
        <item x="1"/>
        <item x="3"/>
        <item h="1" x="5"/>
        <item t="default"/>
      </items>
    </pivotField>
    <pivotField axis="axisPage" multipleItemSelectionAllowed="1" showAll="0">
      <items count="4">
        <item x="1"/>
        <item x="0"/>
        <item h="1" x="2"/>
        <item t="default"/>
      </items>
    </pivotField>
    <pivotField showAll="0"/>
    <pivotField showAll="0"/>
    <pivotField showAll="0"/>
    <pivotField showAll="0"/>
    <pivotField showAll="0">
      <items count="5">
        <item x="2"/>
        <item x="1"/>
        <item x="0"/>
        <item h="1" x="3"/>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Items count="1">
    <i/>
  </colItems>
  <pageFields count="1">
    <pageField fld="2" hier="-1"/>
  </pageFields>
  <dataFields count="1">
    <dataField name="Sum of EmployeeCount" fld="11"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27B746FB-E064-41F6-A79A-CD1C7BD67975}" sourceName="Attrition">
  <pivotTables>
    <pivotTable tabId="9" name="PivotTable13"/>
    <pivotTable tabId="14" name="PivotTable2"/>
    <pivotTable tabId="14" name="PivotTable3"/>
  </pivotTables>
  <data>
    <tabular pivotCacheId="1027057123">
      <items count="3">
        <i x="1" s="1"/>
        <i x="0" s="1"/>
        <i x="2"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BCCC0627-7673-4780-A470-3E947ACDD86F}" sourceName="Department">
  <pivotTables>
    <pivotTable tabId="9" name="PivotTable13"/>
    <pivotTable tabId="9" name="PivotTable14"/>
    <pivotTable tabId="9" name="PivotTable15"/>
    <pivotTable tabId="9" name="PivotTable18"/>
  </pivotTables>
  <data>
    <tabular pivotCacheId="1027057123">
      <items count="4">
        <i x="2"/>
        <i x="1" s="1"/>
        <i x="0"/>
        <i x="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49E2D6D6-7C3E-4DBC-A9AC-4035C4750FFC}" sourceName="JobRole">
  <pivotTables>
    <pivotTable tabId="9" name="PivotTable13"/>
  </pivotTables>
  <data>
    <tabular pivotCacheId="1027057123">
      <items count="10">
        <i x="4" s="1"/>
        <i x="2"/>
        <i x="5"/>
        <i x="3"/>
        <i x="7"/>
        <i x="1"/>
        <i x="8" nd="1"/>
        <i x="0" nd="1"/>
        <i x="6" nd="1"/>
        <i x="9"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xr10:uid="{B5634E1B-8410-4164-B4B0-9978AA4D9C2E}" cache="Slicer_Attrition" caption="Attrition" style="SlicerStyleLight3" rowHeight="257175"/>
  <slicer name="Department" xr10:uid="{816BB6B9-7EC5-47DE-9D55-0552A45EDFA7}" cache="Slicer_Department" caption="Department" rowHeight="257175"/>
  <slicer name="JobRole" xr10:uid="{0FD73E1E-98FB-463B-BB17-66036C898850}" cache="Slicer_JobRole" caption="JobRole"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1" xr10:uid="{3569FB53-C03D-4E3A-BA79-C50B66E2577D}" cache="Slicer_Attrition" caption="Attrition" style="SlicerStyleLight3" rowHeight="257175"/>
  <slicer name="Department 1" xr10:uid="{D670F192-1D5C-4D33-A7F6-54B35F38D8F9}" cache="Slicer_Department" caption="Department" rowHeight="257175"/>
  <slicer name="JobRole 1" xr10:uid="{AE8CECBD-ABD7-4928-86F1-EF39017923E4}" cache="Slicer_JobRole" caption="JobRole" rowHeight="257175"/>
</slicers>
</file>

<file path=xl/theme/theme1.xml><?xml version="1.0" encoding="utf-8"?>
<a:theme xmlns:a="http://schemas.openxmlformats.org/drawingml/2006/main" name="Office Theme">
  <a:themeElements>
    <a:clrScheme name="Red Violet">
      <a:dk1>
        <a:sysClr val="windowText" lastClr="000000"/>
      </a:dk1>
      <a:lt1>
        <a:sysClr val="window" lastClr="FFFFFF"/>
      </a:lt1>
      <a:dk2>
        <a:srgbClr val="454551"/>
      </a:dk2>
      <a:lt2>
        <a:srgbClr val="D8D9DC"/>
      </a:lt2>
      <a:accent1>
        <a:srgbClr val="E32D91"/>
      </a:accent1>
      <a:accent2>
        <a:srgbClr val="C830CC"/>
      </a:accent2>
      <a:accent3>
        <a:srgbClr val="4EA6DC"/>
      </a:accent3>
      <a:accent4>
        <a:srgbClr val="4775E7"/>
      </a:accent4>
      <a:accent5>
        <a:srgbClr val="8971E1"/>
      </a:accent5>
      <a:accent6>
        <a:srgbClr val="D54773"/>
      </a:accent6>
      <a:hlink>
        <a:srgbClr val="6B9F25"/>
      </a:hlink>
      <a:folHlink>
        <a:srgbClr val="8C8C8C"/>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BF52F-3D38-47CB-8277-B5993145DB96}">
  <dimension ref="A1:B54"/>
  <sheetViews>
    <sheetView tabSelected="1" topLeftCell="A2" zoomScale="89" workbookViewId="0">
      <selection activeCell="D11" sqref="D11"/>
    </sheetView>
  </sheetViews>
  <sheetFormatPr defaultRowHeight="15" x14ac:dyDescent="0.25"/>
  <cols>
    <col min="1" max="1" width="12.5703125" bestFit="1" customWidth="1"/>
    <col min="2" max="3" width="25.5703125" bestFit="1" customWidth="1"/>
  </cols>
  <sheetData>
    <row r="1" spans="1:2" x14ac:dyDescent="0.25">
      <c r="A1" s="1" t="s">
        <v>1</v>
      </c>
      <c r="B1" t="s">
        <v>56</v>
      </c>
    </row>
    <row r="3" spans="1:2" x14ac:dyDescent="0.25">
      <c r="A3" s="1" t="s">
        <v>48</v>
      </c>
      <c r="B3" t="s">
        <v>37</v>
      </c>
    </row>
    <row r="4" spans="1:2" x14ac:dyDescent="0.25">
      <c r="A4" s="2">
        <v>1</v>
      </c>
      <c r="B4">
        <v>27332</v>
      </c>
    </row>
    <row r="5" spans="1:2" x14ac:dyDescent="0.25">
      <c r="A5" s="2">
        <v>2</v>
      </c>
      <c r="B5">
        <v>20640</v>
      </c>
    </row>
    <row r="6" spans="1:2" x14ac:dyDescent="0.25">
      <c r="A6" s="2">
        <v>3</v>
      </c>
      <c r="B6">
        <v>51600</v>
      </c>
    </row>
    <row r="7" spans="1:2" x14ac:dyDescent="0.25">
      <c r="A7" s="2">
        <v>4</v>
      </c>
      <c r="B7">
        <v>41225</v>
      </c>
    </row>
    <row r="8" spans="1:2" x14ac:dyDescent="0.25">
      <c r="A8" s="2" t="s">
        <v>39</v>
      </c>
      <c r="B8">
        <v>140797</v>
      </c>
    </row>
    <row r="14" spans="1:2" x14ac:dyDescent="0.25">
      <c r="A14" s="1" t="s">
        <v>1</v>
      </c>
      <c r="B14" t="s">
        <v>16</v>
      </c>
    </row>
    <row r="16" spans="1:2" x14ac:dyDescent="0.25">
      <c r="A16" s="1" t="s">
        <v>47</v>
      </c>
      <c r="B16" t="s">
        <v>37</v>
      </c>
    </row>
    <row r="17" spans="1:2" x14ac:dyDescent="0.25">
      <c r="A17" s="2" t="s">
        <v>19</v>
      </c>
      <c r="B17">
        <v>56514</v>
      </c>
    </row>
    <row r="18" spans="1:2" x14ac:dyDescent="0.25">
      <c r="A18" s="2" t="s">
        <v>27</v>
      </c>
      <c r="B18">
        <v>44452</v>
      </c>
    </row>
    <row r="19" spans="1:2" x14ac:dyDescent="0.25">
      <c r="A19" s="2" t="s">
        <v>25</v>
      </c>
      <c r="B19">
        <v>5644</v>
      </c>
    </row>
    <row r="20" spans="1:2" x14ac:dyDescent="0.25">
      <c r="A20" s="2" t="s">
        <v>35</v>
      </c>
      <c r="B20">
        <v>19706</v>
      </c>
    </row>
    <row r="21" spans="1:2" x14ac:dyDescent="0.25">
      <c r="A21" s="2" t="s">
        <v>39</v>
      </c>
      <c r="B21">
        <v>126316</v>
      </c>
    </row>
    <row r="30" spans="1:2" x14ac:dyDescent="0.25">
      <c r="A30" s="1" t="s">
        <v>40</v>
      </c>
      <c r="B30" t="s">
        <v>55</v>
      </c>
    </row>
    <row r="31" spans="1:2" x14ac:dyDescent="0.25">
      <c r="A31" s="2" t="s">
        <v>21</v>
      </c>
      <c r="B31">
        <v>840934</v>
      </c>
    </row>
    <row r="32" spans="1:2" x14ac:dyDescent="0.25">
      <c r="A32" s="2" t="s">
        <v>16</v>
      </c>
      <c r="B32">
        <v>126316</v>
      </c>
    </row>
    <row r="33" spans="1:2" x14ac:dyDescent="0.25">
      <c r="A33" s="2" t="s">
        <v>39</v>
      </c>
      <c r="B33">
        <v>967250</v>
      </c>
    </row>
    <row r="36" spans="1:2" ht="15.75" customHeight="1" x14ac:dyDescent="0.25"/>
    <row r="37" spans="1:2" x14ac:dyDescent="0.25">
      <c r="A37" s="1" t="s">
        <v>1</v>
      </c>
      <c r="B37" t="s">
        <v>43</v>
      </c>
    </row>
    <row r="39" spans="1:2" x14ac:dyDescent="0.25">
      <c r="A39" s="1" t="s">
        <v>46</v>
      </c>
      <c r="B39" t="s">
        <v>49</v>
      </c>
    </row>
    <row r="40" spans="1:2" x14ac:dyDescent="0.25">
      <c r="A40" s="2" t="s">
        <v>50</v>
      </c>
      <c r="B40">
        <v>65629</v>
      </c>
    </row>
    <row r="41" spans="1:2" x14ac:dyDescent="0.25">
      <c r="A41" s="2" t="s">
        <v>51</v>
      </c>
      <c r="B41">
        <v>346603</v>
      </c>
    </row>
    <row r="42" spans="1:2" x14ac:dyDescent="0.25">
      <c r="A42" s="2" t="s">
        <v>52</v>
      </c>
      <c r="B42">
        <v>353273</v>
      </c>
    </row>
    <row r="43" spans="1:2" x14ac:dyDescent="0.25">
      <c r="A43" s="2" t="s">
        <v>53</v>
      </c>
      <c r="B43">
        <v>155498</v>
      </c>
    </row>
    <row r="44" spans="1:2" x14ac:dyDescent="0.25">
      <c r="A44" s="2" t="s">
        <v>54</v>
      </c>
      <c r="B44">
        <v>46247</v>
      </c>
    </row>
    <row r="45" spans="1:2" x14ac:dyDescent="0.25">
      <c r="A45" s="2" t="s">
        <v>39</v>
      </c>
      <c r="B45">
        <v>967250</v>
      </c>
    </row>
    <row r="51" spans="1:2" x14ac:dyDescent="0.25">
      <c r="A51" s="1" t="s">
        <v>46</v>
      </c>
      <c r="B51" t="s">
        <v>49</v>
      </c>
    </row>
    <row r="52" spans="1:2" x14ac:dyDescent="0.25">
      <c r="A52" s="2" t="s">
        <v>21</v>
      </c>
      <c r="B52">
        <v>1267100</v>
      </c>
    </row>
    <row r="53" spans="1:2" x14ac:dyDescent="0.25">
      <c r="A53" s="2" t="s">
        <v>16</v>
      </c>
      <c r="B53">
        <v>239452</v>
      </c>
    </row>
    <row r="54" spans="1:2" x14ac:dyDescent="0.25">
      <c r="A54" s="2" t="s">
        <v>39</v>
      </c>
      <c r="B54">
        <v>1506552</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6D14C-6F39-4BED-96A9-77C8564B796F}">
  <dimension ref="A1:O60"/>
  <sheetViews>
    <sheetView workbookViewId="0">
      <selection activeCell="C38" sqref="C38:I63"/>
    </sheetView>
  </sheetViews>
  <sheetFormatPr defaultRowHeight="15" x14ac:dyDescent="0.25"/>
  <cols>
    <col min="1" max="1" width="13.42578125" bestFit="1" customWidth="1"/>
    <col min="2" max="2" width="22.7109375" bestFit="1" customWidth="1"/>
  </cols>
  <sheetData>
    <row r="1" spans="1:2" x14ac:dyDescent="0.25">
      <c r="A1" s="1" t="s">
        <v>1</v>
      </c>
      <c r="B1" t="s">
        <v>56</v>
      </c>
    </row>
    <row r="3" spans="1:2" x14ac:dyDescent="0.25">
      <c r="A3" s="1" t="s">
        <v>38</v>
      </c>
      <c r="B3" t="s">
        <v>45</v>
      </c>
    </row>
    <row r="4" spans="1:2" x14ac:dyDescent="0.25">
      <c r="A4" s="2" t="s">
        <v>36</v>
      </c>
      <c r="B4">
        <v>63</v>
      </c>
    </row>
    <row r="5" spans="1:2" x14ac:dyDescent="0.25">
      <c r="A5" s="2" t="s">
        <v>23</v>
      </c>
      <c r="B5">
        <v>961</v>
      </c>
    </row>
    <row r="6" spans="1:2" x14ac:dyDescent="0.25">
      <c r="A6" s="2" t="s">
        <v>18</v>
      </c>
      <c r="B6">
        <v>446</v>
      </c>
    </row>
    <row r="7" spans="1:2" x14ac:dyDescent="0.25">
      <c r="A7" s="2" t="s">
        <v>39</v>
      </c>
      <c r="B7">
        <v>1470</v>
      </c>
    </row>
    <row r="14" spans="1:2" x14ac:dyDescent="0.25">
      <c r="A14" s="1" t="s">
        <v>1</v>
      </c>
      <c r="B14" t="s">
        <v>56</v>
      </c>
    </row>
    <row r="16" spans="1:2" x14ac:dyDescent="0.25">
      <c r="A16" s="1" t="s">
        <v>38</v>
      </c>
      <c r="B16" t="s">
        <v>45</v>
      </c>
    </row>
    <row r="17" spans="1:15" x14ac:dyDescent="0.25">
      <c r="A17" s="2" t="s">
        <v>50</v>
      </c>
      <c r="B17">
        <v>97</v>
      </c>
    </row>
    <row r="18" spans="1:15" x14ac:dyDescent="0.25">
      <c r="A18" s="2" t="s">
        <v>51</v>
      </c>
      <c r="B18">
        <v>554</v>
      </c>
    </row>
    <row r="19" spans="1:15" x14ac:dyDescent="0.25">
      <c r="A19" s="2" t="s">
        <v>52</v>
      </c>
      <c r="B19">
        <v>505</v>
      </c>
    </row>
    <row r="20" spans="1:15" x14ac:dyDescent="0.25">
      <c r="A20" s="2" t="s">
        <v>53</v>
      </c>
      <c r="B20">
        <v>245</v>
      </c>
    </row>
    <row r="21" spans="1:15" x14ac:dyDescent="0.25">
      <c r="A21" s="2" t="s">
        <v>54</v>
      </c>
      <c r="B21">
        <v>69</v>
      </c>
    </row>
    <row r="22" spans="1:15" x14ac:dyDescent="0.25">
      <c r="A22" s="2" t="s">
        <v>39</v>
      </c>
      <c r="B22">
        <v>1470</v>
      </c>
    </row>
    <row r="26" spans="1:15" x14ac:dyDescent="0.25">
      <c r="M26" t="s">
        <v>44</v>
      </c>
    </row>
    <row r="27" spans="1:15" x14ac:dyDescent="0.25">
      <c r="M27" t="s">
        <v>21</v>
      </c>
      <c r="N27" t="s">
        <v>16</v>
      </c>
      <c r="O27" t="s">
        <v>39</v>
      </c>
    </row>
    <row r="28" spans="1:15" x14ac:dyDescent="0.25">
      <c r="M28">
        <v>645058</v>
      </c>
      <c r="N28">
        <v>59117</v>
      </c>
      <c r="O28">
        <v>704175</v>
      </c>
    </row>
    <row r="29" spans="1:15" x14ac:dyDescent="0.25">
      <c r="M29">
        <v>195876</v>
      </c>
      <c r="N29">
        <v>67199</v>
      </c>
      <c r="O29">
        <v>263075</v>
      </c>
    </row>
    <row r="30" spans="1:15" x14ac:dyDescent="0.25">
      <c r="M30">
        <v>840934</v>
      </c>
      <c r="N30">
        <v>126316</v>
      </c>
      <c r="O30">
        <v>967250</v>
      </c>
    </row>
    <row r="56" spans="3:5" x14ac:dyDescent="0.25">
      <c r="C56" t="s">
        <v>44</v>
      </c>
    </row>
    <row r="57" spans="3:5" x14ac:dyDescent="0.25">
      <c r="C57" t="s">
        <v>21</v>
      </c>
      <c r="D57" t="s">
        <v>16</v>
      </c>
      <c r="E57" t="s">
        <v>39</v>
      </c>
    </row>
    <row r="58" spans="3:5" x14ac:dyDescent="0.25">
      <c r="C58">
        <v>645058</v>
      </c>
      <c r="D58">
        <v>59117</v>
      </c>
      <c r="E58">
        <v>704175</v>
      </c>
    </row>
    <row r="59" spans="3:5" x14ac:dyDescent="0.25">
      <c r="C59">
        <v>195876</v>
      </c>
      <c r="D59">
        <v>67199</v>
      </c>
      <c r="E59">
        <v>263075</v>
      </c>
    </row>
    <row r="60" spans="3:5" x14ac:dyDescent="0.25">
      <c r="C60">
        <v>840934</v>
      </c>
      <c r="D60">
        <v>126316</v>
      </c>
      <c r="E60">
        <v>967250</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BC080-9AB3-4EF6-99CA-FCCAABB3EBCB}">
  <dimension ref="A1:T1471"/>
  <sheetViews>
    <sheetView workbookViewId="0">
      <selection activeCell="AC27" sqref="A1:XFD1048576"/>
    </sheetView>
  </sheetViews>
  <sheetFormatPr defaultRowHeight="15" x14ac:dyDescent="0.25"/>
  <cols>
    <col min="1" max="1" width="6.42578125" bestFit="1" customWidth="1"/>
    <col min="2" max="2" width="12.28515625" bestFit="1" customWidth="1"/>
    <col min="3" max="3" width="10.28515625" bestFit="1" customWidth="1"/>
    <col min="4" max="4" width="16" bestFit="1" customWidth="1"/>
    <col min="5" max="5" width="16" style="3" customWidth="1"/>
    <col min="6" max="6" width="16.7109375" bestFit="1" customWidth="1"/>
    <col min="7" max="7" width="11.5703125" bestFit="1" customWidth="1"/>
    <col min="8" max="8" width="23.140625" bestFit="1" customWidth="1"/>
    <col min="9" max="9" width="21" bestFit="1" customWidth="1"/>
    <col min="10" max="10" width="12.140625" bestFit="1" customWidth="1"/>
    <col min="11" max="11" width="17.28515625" bestFit="1" customWidth="1"/>
    <col min="12" max="12" width="17" bestFit="1" customWidth="1"/>
    <col min="13" max="13" width="19" bestFit="1" customWidth="1"/>
    <col min="14" max="14" width="19" customWidth="1"/>
    <col min="15" max="15" width="25.140625" bestFit="1" customWidth="1"/>
    <col min="16" max="16" width="10.5703125" bestFit="1" customWidth="1"/>
    <col min="17" max="17" width="24.28515625" bestFit="1" customWidth="1"/>
    <col min="18" max="18" width="16.85546875" bestFit="1" customWidth="1"/>
    <col min="19" max="19" width="17" bestFit="1" customWidth="1"/>
    <col min="20" max="20" width="11.5703125" bestFit="1" customWidth="1"/>
  </cols>
  <sheetData>
    <row r="1" spans="1:20" x14ac:dyDescent="0.25">
      <c r="A1" t="s">
        <v>0</v>
      </c>
      <c r="B1" t="s">
        <v>46</v>
      </c>
      <c r="C1" t="s">
        <v>1</v>
      </c>
      <c r="D1" t="s">
        <v>42</v>
      </c>
      <c r="E1" s="3" t="s">
        <v>40</v>
      </c>
      <c r="F1" t="s">
        <v>2</v>
      </c>
      <c r="G1" t="s">
        <v>3</v>
      </c>
      <c r="H1" t="s">
        <v>4</v>
      </c>
      <c r="I1" t="s">
        <v>5</v>
      </c>
      <c r="J1" t="s">
        <v>6</v>
      </c>
      <c r="K1" t="s">
        <v>7</v>
      </c>
      <c r="L1" t="s">
        <v>8</v>
      </c>
      <c r="M1" t="s">
        <v>9</v>
      </c>
      <c r="N1" t="s">
        <v>41</v>
      </c>
      <c r="O1" t="s">
        <v>10</v>
      </c>
      <c r="P1" t="s">
        <v>11</v>
      </c>
      <c r="Q1" t="s">
        <v>12</v>
      </c>
      <c r="R1" t="s">
        <v>13</v>
      </c>
      <c r="S1" t="s">
        <v>14</v>
      </c>
      <c r="T1" t="s">
        <v>15</v>
      </c>
    </row>
    <row r="2" spans="1:20" x14ac:dyDescent="0.25">
      <c r="A2">
        <v>41</v>
      </c>
      <c r="B2" t="str">
        <f>IF(A2&lt;=24,"18-24",IF(A2&lt;=34,"25-34",IF(A2&lt;=44,"35-44",IF(A2&lt;=54,"45-54","55+"))))</f>
        <v>35-44</v>
      </c>
      <c r="C2" t="s">
        <v>16</v>
      </c>
      <c r="D2">
        <f>COUNTIF(C2:C1471,"Yes")</f>
        <v>237</v>
      </c>
      <c r="E2" s="3">
        <f>COUNTIF(C2:C1471,"Yes")/COUNTA(C2:C1471)</f>
        <v>0.16122448979591836</v>
      </c>
      <c r="F2" t="s">
        <v>17</v>
      </c>
      <c r="G2">
        <v>1102</v>
      </c>
      <c r="H2" t="s">
        <v>18</v>
      </c>
      <c r="I2">
        <v>1</v>
      </c>
      <c r="J2">
        <v>2</v>
      </c>
      <c r="K2" t="s">
        <v>19</v>
      </c>
      <c r="L2">
        <v>1</v>
      </c>
      <c r="M2">
        <v>1</v>
      </c>
      <c r="N2">
        <f>COUNTA(M2:M1471)</f>
        <v>1470</v>
      </c>
      <c r="O2">
        <v>2</v>
      </c>
      <c r="P2">
        <v>2</v>
      </c>
      <c r="Q2" t="s">
        <v>20</v>
      </c>
      <c r="R2">
        <v>4</v>
      </c>
      <c r="S2">
        <v>5993</v>
      </c>
      <c r="T2" t="s">
        <v>16</v>
      </c>
    </row>
    <row r="3" spans="1:20" x14ac:dyDescent="0.25">
      <c r="A3">
        <v>49</v>
      </c>
      <c r="B3" t="str">
        <f t="shared" ref="B3:B66" si="0">IF(A3&lt;=24,"18-24",IF(A3&lt;=34,"25-34",IF(A3&lt;=44,"35-44",IF(A3&lt;=54,"45-54","55+"))))</f>
        <v>45-54</v>
      </c>
      <c r="C3" t="s">
        <v>21</v>
      </c>
      <c r="F3" t="s">
        <v>22</v>
      </c>
      <c r="G3">
        <v>279</v>
      </c>
      <c r="H3" t="s">
        <v>23</v>
      </c>
      <c r="I3">
        <v>8</v>
      </c>
      <c r="J3">
        <v>1</v>
      </c>
      <c r="K3" t="s">
        <v>19</v>
      </c>
      <c r="L3">
        <v>1</v>
      </c>
      <c r="M3">
        <v>2</v>
      </c>
      <c r="O3">
        <v>3</v>
      </c>
      <c r="P3">
        <v>2</v>
      </c>
      <c r="Q3" t="s">
        <v>24</v>
      </c>
      <c r="R3">
        <v>2</v>
      </c>
      <c r="S3">
        <v>5130</v>
      </c>
      <c r="T3" t="s">
        <v>21</v>
      </c>
    </row>
    <row r="4" spans="1:20" x14ac:dyDescent="0.25">
      <c r="A4">
        <v>37</v>
      </c>
      <c r="B4" t="str">
        <f t="shared" si="0"/>
        <v>35-44</v>
      </c>
      <c r="C4" t="s">
        <v>16</v>
      </c>
      <c r="F4" t="s">
        <v>17</v>
      </c>
      <c r="G4">
        <v>1373</v>
      </c>
      <c r="H4" t="s">
        <v>23</v>
      </c>
      <c r="I4">
        <v>2</v>
      </c>
      <c r="J4">
        <v>2</v>
      </c>
      <c r="K4" t="s">
        <v>25</v>
      </c>
      <c r="L4">
        <v>1</v>
      </c>
      <c r="M4">
        <v>4</v>
      </c>
      <c r="O4">
        <v>4</v>
      </c>
      <c r="P4">
        <v>1</v>
      </c>
      <c r="Q4" t="s">
        <v>26</v>
      </c>
      <c r="R4">
        <v>3</v>
      </c>
      <c r="S4">
        <v>2090</v>
      </c>
      <c r="T4" t="s">
        <v>16</v>
      </c>
    </row>
    <row r="5" spans="1:20" x14ac:dyDescent="0.25">
      <c r="A5">
        <v>33</v>
      </c>
      <c r="B5" t="str">
        <f t="shared" si="0"/>
        <v>25-34</v>
      </c>
      <c r="C5" t="s">
        <v>21</v>
      </c>
      <c r="F5" t="s">
        <v>22</v>
      </c>
      <c r="G5">
        <v>1392</v>
      </c>
      <c r="H5" t="s">
        <v>23</v>
      </c>
      <c r="I5">
        <v>3</v>
      </c>
      <c r="J5">
        <v>4</v>
      </c>
      <c r="K5" t="s">
        <v>19</v>
      </c>
      <c r="L5">
        <v>1</v>
      </c>
      <c r="M5">
        <v>5</v>
      </c>
      <c r="O5">
        <v>4</v>
      </c>
      <c r="P5">
        <v>1</v>
      </c>
      <c r="Q5" t="s">
        <v>24</v>
      </c>
      <c r="R5">
        <v>3</v>
      </c>
      <c r="S5">
        <v>2909</v>
      </c>
      <c r="T5" t="s">
        <v>16</v>
      </c>
    </row>
    <row r="6" spans="1:20" x14ac:dyDescent="0.25">
      <c r="A6">
        <v>27</v>
      </c>
      <c r="B6" t="str">
        <f t="shared" si="0"/>
        <v>25-34</v>
      </c>
      <c r="C6" t="s">
        <v>21</v>
      </c>
      <c r="F6" t="s">
        <v>17</v>
      </c>
      <c r="G6">
        <v>591</v>
      </c>
      <c r="H6" t="s">
        <v>23</v>
      </c>
      <c r="I6">
        <v>2</v>
      </c>
      <c r="J6">
        <v>1</v>
      </c>
      <c r="K6" t="s">
        <v>27</v>
      </c>
      <c r="L6">
        <v>1</v>
      </c>
      <c r="M6">
        <v>7</v>
      </c>
      <c r="O6">
        <v>1</v>
      </c>
      <c r="P6">
        <v>1</v>
      </c>
      <c r="Q6" t="s">
        <v>26</v>
      </c>
      <c r="R6">
        <v>2</v>
      </c>
      <c r="S6">
        <v>3468</v>
      </c>
      <c r="T6" t="s">
        <v>21</v>
      </c>
    </row>
    <row r="7" spans="1:20" x14ac:dyDescent="0.25">
      <c r="A7">
        <v>32</v>
      </c>
      <c r="B7" t="str">
        <f t="shared" si="0"/>
        <v>25-34</v>
      </c>
      <c r="C7" t="s">
        <v>21</v>
      </c>
      <c r="F7" t="s">
        <v>22</v>
      </c>
      <c r="G7">
        <v>1005</v>
      </c>
      <c r="H7" t="s">
        <v>23</v>
      </c>
      <c r="I7">
        <v>2</v>
      </c>
      <c r="J7">
        <v>2</v>
      </c>
      <c r="K7" t="s">
        <v>19</v>
      </c>
      <c r="L7">
        <v>1</v>
      </c>
      <c r="M7">
        <v>8</v>
      </c>
      <c r="O7">
        <v>4</v>
      </c>
      <c r="P7">
        <v>1</v>
      </c>
      <c r="Q7" t="s">
        <v>26</v>
      </c>
      <c r="R7">
        <v>4</v>
      </c>
      <c r="S7">
        <v>3068</v>
      </c>
      <c r="T7" t="s">
        <v>21</v>
      </c>
    </row>
    <row r="8" spans="1:20" x14ac:dyDescent="0.25">
      <c r="A8">
        <v>59</v>
      </c>
      <c r="B8" t="str">
        <f t="shared" si="0"/>
        <v>55+</v>
      </c>
      <c r="C8" t="s">
        <v>21</v>
      </c>
      <c r="F8" t="s">
        <v>17</v>
      </c>
      <c r="G8">
        <v>1324</v>
      </c>
      <c r="H8" t="s">
        <v>23</v>
      </c>
      <c r="I8">
        <v>3</v>
      </c>
      <c r="J8">
        <v>3</v>
      </c>
      <c r="K8" t="s">
        <v>27</v>
      </c>
      <c r="L8">
        <v>1</v>
      </c>
      <c r="M8">
        <v>10</v>
      </c>
      <c r="O8">
        <v>3</v>
      </c>
      <c r="P8">
        <v>1</v>
      </c>
      <c r="Q8" t="s">
        <v>26</v>
      </c>
      <c r="R8">
        <v>1</v>
      </c>
      <c r="S8">
        <v>2670</v>
      </c>
      <c r="T8" t="s">
        <v>16</v>
      </c>
    </row>
    <row r="9" spans="1:20" x14ac:dyDescent="0.25">
      <c r="A9">
        <v>30</v>
      </c>
      <c r="B9" t="str">
        <f t="shared" si="0"/>
        <v>25-34</v>
      </c>
      <c r="C9" t="s">
        <v>21</v>
      </c>
      <c r="F9" t="s">
        <v>17</v>
      </c>
      <c r="G9">
        <v>1358</v>
      </c>
      <c r="H9" t="s">
        <v>23</v>
      </c>
      <c r="I9">
        <v>24</v>
      </c>
      <c r="J9">
        <v>1</v>
      </c>
      <c r="K9" t="s">
        <v>19</v>
      </c>
      <c r="L9">
        <v>1</v>
      </c>
      <c r="M9">
        <v>11</v>
      </c>
      <c r="O9">
        <v>4</v>
      </c>
      <c r="P9">
        <v>1</v>
      </c>
      <c r="Q9" t="s">
        <v>26</v>
      </c>
      <c r="R9">
        <v>3</v>
      </c>
      <c r="S9">
        <v>2693</v>
      </c>
      <c r="T9" t="s">
        <v>21</v>
      </c>
    </row>
    <row r="10" spans="1:20" x14ac:dyDescent="0.25">
      <c r="A10">
        <v>38</v>
      </c>
      <c r="B10" t="str">
        <f t="shared" si="0"/>
        <v>35-44</v>
      </c>
      <c r="C10" t="s">
        <v>21</v>
      </c>
      <c r="F10" t="s">
        <v>22</v>
      </c>
      <c r="G10">
        <v>216</v>
      </c>
      <c r="H10" t="s">
        <v>23</v>
      </c>
      <c r="I10">
        <v>23</v>
      </c>
      <c r="J10">
        <v>3</v>
      </c>
      <c r="K10" t="s">
        <v>19</v>
      </c>
      <c r="L10">
        <v>1</v>
      </c>
      <c r="M10">
        <v>12</v>
      </c>
      <c r="O10">
        <v>4</v>
      </c>
      <c r="P10">
        <v>3</v>
      </c>
      <c r="Q10" t="s">
        <v>28</v>
      </c>
      <c r="R10">
        <v>3</v>
      </c>
      <c r="S10">
        <v>9526</v>
      </c>
      <c r="T10" t="s">
        <v>21</v>
      </c>
    </row>
    <row r="11" spans="1:20" x14ac:dyDescent="0.25">
      <c r="A11">
        <v>36</v>
      </c>
      <c r="B11" t="str">
        <f t="shared" si="0"/>
        <v>35-44</v>
      </c>
      <c r="C11" t="s">
        <v>21</v>
      </c>
      <c r="F11" t="s">
        <v>17</v>
      </c>
      <c r="G11">
        <v>1299</v>
      </c>
      <c r="H11" t="s">
        <v>23</v>
      </c>
      <c r="I11">
        <v>27</v>
      </c>
      <c r="J11">
        <v>3</v>
      </c>
      <c r="K11" t="s">
        <v>27</v>
      </c>
      <c r="L11">
        <v>1</v>
      </c>
      <c r="M11">
        <v>13</v>
      </c>
      <c r="O11">
        <v>3</v>
      </c>
      <c r="P11">
        <v>2</v>
      </c>
      <c r="Q11" t="s">
        <v>29</v>
      </c>
      <c r="R11">
        <v>3</v>
      </c>
      <c r="S11">
        <v>5237</v>
      </c>
      <c r="T11" t="s">
        <v>21</v>
      </c>
    </row>
    <row r="12" spans="1:20" x14ac:dyDescent="0.25">
      <c r="A12">
        <v>35</v>
      </c>
      <c r="B12" t="str">
        <f t="shared" si="0"/>
        <v>35-44</v>
      </c>
      <c r="C12" t="s">
        <v>21</v>
      </c>
      <c r="F12" t="s">
        <v>17</v>
      </c>
      <c r="G12">
        <v>809</v>
      </c>
      <c r="H12" t="s">
        <v>23</v>
      </c>
      <c r="I12">
        <v>16</v>
      </c>
      <c r="J12">
        <v>3</v>
      </c>
      <c r="K12" t="s">
        <v>27</v>
      </c>
      <c r="L12">
        <v>1</v>
      </c>
      <c r="M12">
        <v>14</v>
      </c>
      <c r="O12">
        <v>1</v>
      </c>
      <c r="P12">
        <v>1</v>
      </c>
      <c r="Q12" t="s">
        <v>26</v>
      </c>
      <c r="R12">
        <v>2</v>
      </c>
      <c r="S12">
        <v>2426</v>
      </c>
      <c r="T12" t="s">
        <v>21</v>
      </c>
    </row>
    <row r="13" spans="1:20" x14ac:dyDescent="0.25">
      <c r="A13">
        <v>29</v>
      </c>
      <c r="B13" t="str">
        <f t="shared" si="0"/>
        <v>25-34</v>
      </c>
      <c r="C13" t="s">
        <v>21</v>
      </c>
      <c r="F13" t="s">
        <v>17</v>
      </c>
      <c r="G13">
        <v>153</v>
      </c>
      <c r="H13" t="s">
        <v>23</v>
      </c>
      <c r="I13">
        <v>15</v>
      </c>
      <c r="J13">
        <v>2</v>
      </c>
      <c r="K13" t="s">
        <v>19</v>
      </c>
      <c r="L13">
        <v>1</v>
      </c>
      <c r="M13">
        <v>15</v>
      </c>
      <c r="O13">
        <v>4</v>
      </c>
      <c r="P13">
        <v>2</v>
      </c>
      <c r="Q13" t="s">
        <v>26</v>
      </c>
      <c r="R13">
        <v>3</v>
      </c>
      <c r="S13">
        <v>4193</v>
      </c>
      <c r="T13" t="s">
        <v>16</v>
      </c>
    </row>
    <row r="14" spans="1:20" x14ac:dyDescent="0.25">
      <c r="A14">
        <v>31</v>
      </c>
      <c r="B14" t="str">
        <f t="shared" si="0"/>
        <v>25-34</v>
      </c>
      <c r="C14" t="s">
        <v>21</v>
      </c>
      <c r="F14" t="s">
        <v>17</v>
      </c>
      <c r="G14">
        <v>670</v>
      </c>
      <c r="H14" t="s">
        <v>23</v>
      </c>
      <c r="I14">
        <v>26</v>
      </c>
      <c r="J14">
        <v>1</v>
      </c>
      <c r="K14" t="s">
        <v>19</v>
      </c>
      <c r="L14">
        <v>1</v>
      </c>
      <c r="M14">
        <v>16</v>
      </c>
      <c r="O14">
        <v>1</v>
      </c>
      <c r="P14">
        <v>1</v>
      </c>
      <c r="Q14" t="s">
        <v>24</v>
      </c>
      <c r="R14">
        <v>3</v>
      </c>
      <c r="S14">
        <v>2911</v>
      </c>
      <c r="T14" t="s">
        <v>21</v>
      </c>
    </row>
    <row r="15" spans="1:20" x14ac:dyDescent="0.25">
      <c r="A15">
        <v>34</v>
      </c>
      <c r="B15" t="str">
        <f t="shared" si="0"/>
        <v>25-34</v>
      </c>
      <c r="C15" t="s">
        <v>21</v>
      </c>
      <c r="F15" t="s">
        <v>17</v>
      </c>
      <c r="G15">
        <v>1346</v>
      </c>
      <c r="H15" t="s">
        <v>23</v>
      </c>
      <c r="I15">
        <v>19</v>
      </c>
      <c r="J15">
        <v>2</v>
      </c>
      <c r="K15" t="s">
        <v>27</v>
      </c>
      <c r="L15">
        <v>1</v>
      </c>
      <c r="M15">
        <v>18</v>
      </c>
      <c r="O15">
        <v>2</v>
      </c>
      <c r="P15">
        <v>1</v>
      </c>
      <c r="Q15" t="s">
        <v>26</v>
      </c>
      <c r="R15">
        <v>4</v>
      </c>
      <c r="S15">
        <v>2661</v>
      </c>
      <c r="T15" t="s">
        <v>21</v>
      </c>
    </row>
    <row r="16" spans="1:20" x14ac:dyDescent="0.25">
      <c r="A16">
        <v>28</v>
      </c>
      <c r="B16" t="str">
        <f t="shared" si="0"/>
        <v>25-34</v>
      </c>
      <c r="C16" t="s">
        <v>16</v>
      </c>
      <c r="F16" t="s">
        <v>17</v>
      </c>
      <c r="G16">
        <v>103</v>
      </c>
      <c r="H16" t="s">
        <v>23</v>
      </c>
      <c r="I16">
        <v>24</v>
      </c>
      <c r="J16">
        <v>3</v>
      </c>
      <c r="K16" t="s">
        <v>19</v>
      </c>
      <c r="L16">
        <v>1</v>
      </c>
      <c r="M16">
        <v>19</v>
      </c>
      <c r="O16">
        <v>3</v>
      </c>
      <c r="P16">
        <v>1</v>
      </c>
      <c r="Q16" t="s">
        <v>26</v>
      </c>
      <c r="R16">
        <v>3</v>
      </c>
      <c r="S16">
        <v>2028</v>
      </c>
      <c r="T16" t="s">
        <v>16</v>
      </c>
    </row>
    <row r="17" spans="1:20" x14ac:dyDescent="0.25">
      <c r="A17">
        <v>29</v>
      </c>
      <c r="B17" t="str">
        <f t="shared" si="0"/>
        <v>25-34</v>
      </c>
      <c r="C17" t="s">
        <v>21</v>
      </c>
      <c r="F17" t="s">
        <v>17</v>
      </c>
      <c r="G17">
        <v>1389</v>
      </c>
      <c r="H17" t="s">
        <v>23</v>
      </c>
      <c r="I17">
        <v>21</v>
      </c>
      <c r="J17">
        <v>4</v>
      </c>
      <c r="K17" t="s">
        <v>19</v>
      </c>
      <c r="L17">
        <v>1</v>
      </c>
      <c r="M17">
        <v>20</v>
      </c>
      <c r="O17">
        <v>2</v>
      </c>
      <c r="P17">
        <v>3</v>
      </c>
      <c r="Q17" t="s">
        <v>28</v>
      </c>
      <c r="R17">
        <v>1</v>
      </c>
      <c r="S17">
        <v>9980</v>
      </c>
      <c r="T17" t="s">
        <v>21</v>
      </c>
    </row>
    <row r="18" spans="1:20" x14ac:dyDescent="0.25">
      <c r="A18">
        <v>32</v>
      </c>
      <c r="B18" t="str">
        <f t="shared" si="0"/>
        <v>25-34</v>
      </c>
      <c r="C18" t="s">
        <v>21</v>
      </c>
      <c r="F18" t="s">
        <v>17</v>
      </c>
      <c r="G18">
        <v>334</v>
      </c>
      <c r="H18" t="s">
        <v>23</v>
      </c>
      <c r="I18">
        <v>5</v>
      </c>
      <c r="J18">
        <v>2</v>
      </c>
      <c r="K18" t="s">
        <v>19</v>
      </c>
      <c r="L18">
        <v>1</v>
      </c>
      <c r="M18">
        <v>21</v>
      </c>
      <c r="O18">
        <v>1</v>
      </c>
      <c r="P18">
        <v>1</v>
      </c>
      <c r="Q18" t="s">
        <v>24</v>
      </c>
      <c r="R18">
        <v>2</v>
      </c>
      <c r="S18">
        <v>3298</v>
      </c>
      <c r="T18" t="s">
        <v>16</v>
      </c>
    </row>
    <row r="19" spans="1:20" x14ac:dyDescent="0.25">
      <c r="A19">
        <v>22</v>
      </c>
      <c r="B19" t="str">
        <f t="shared" si="0"/>
        <v>18-24</v>
      </c>
      <c r="C19" t="s">
        <v>21</v>
      </c>
      <c r="F19" t="s">
        <v>30</v>
      </c>
      <c r="G19">
        <v>1123</v>
      </c>
      <c r="H19" t="s">
        <v>23</v>
      </c>
      <c r="I19">
        <v>16</v>
      </c>
      <c r="J19">
        <v>2</v>
      </c>
      <c r="K19" t="s">
        <v>27</v>
      </c>
      <c r="L19">
        <v>1</v>
      </c>
      <c r="M19">
        <v>22</v>
      </c>
      <c r="O19">
        <v>4</v>
      </c>
      <c r="P19">
        <v>1</v>
      </c>
      <c r="Q19" t="s">
        <v>26</v>
      </c>
      <c r="R19">
        <v>4</v>
      </c>
      <c r="S19">
        <v>2935</v>
      </c>
      <c r="T19" t="s">
        <v>16</v>
      </c>
    </row>
    <row r="20" spans="1:20" x14ac:dyDescent="0.25">
      <c r="A20">
        <v>53</v>
      </c>
      <c r="B20" t="str">
        <f t="shared" si="0"/>
        <v>45-54</v>
      </c>
      <c r="C20" t="s">
        <v>21</v>
      </c>
      <c r="F20" t="s">
        <v>17</v>
      </c>
      <c r="G20">
        <v>1219</v>
      </c>
      <c r="H20" t="s">
        <v>18</v>
      </c>
      <c r="I20">
        <v>2</v>
      </c>
      <c r="J20">
        <v>4</v>
      </c>
      <c r="K20" t="s">
        <v>19</v>
      </c>
      <c r="L20">
        <v>1</v>
      </c>
      <c r="M20">
        <v>23</v>
      </c>
      <c r="O20">
        <v>1</v>
      </c>
      <c r="P20">
        <v>4</v>
      </c>
      <c r="Q20" t="s">
        <v>31</v>
      </c>
      <c r="R20">
        <v>4</v>
      </c>
      <c r="S20">
        <v>15427</v>
      </c>
      <c r="T20" t="s">
        <v>21</v>
      </c>
    </row>
    <row r="21" spans="1:20" x14ac:dyDescent="0.25">
      <c r="A21">
        <v>38</v>
      </c>
      <c r="B21" t="str">
        <f t="shared" si="0"/>
        <v>35-44</v>
      </c>
      <c r="C21" t="s">
        <v>21</v>
      </c>
      <c r="F21" t="s">
        <v>17</v>
      </c>
      <c r="G21">
        <v>371</v>
      </c>
      <c r="H21" t="s">
        <v>23</v>
      </c>
      <c r="I21">
        <v>2</v>
      </c>
      <c r="J21">
        <v>3</v>
      </c>
      <c r="K21" t="s">
        <v>19</v>
      </c>
      <c r="L21">
        <v>1</v>
      </c>
      <c r="M21">
        <v>24</v>
      </c>
      <c r="O21">
        <v>4</v>
      </c>
      <c r="P21">
        <v>1</v>
      </c>
      <c r="Q21" t="s">
        <v>24</v>
      </c>
      <c r="R21">
        <v>4</v>
      </c>
      <c r="S21">
        <v>3944</v>
      </c>
      <c r="T21" t="s">
        <v>16</v>
      </c>
    </row>
    <row r="22" spans="1:20" x14ac:dyDescent="0.25">
      <c r="A22">
        <v>24</v>
      </c>
      <c r="B22" t="str">
        <f t="shared" si="0"/>
        <v>18-24</v>
      </c>
      <c r="C22" t="s">
        <v>21</v>
      </c>
      <c r="F22" t="s">
        <v>30</v>
      </c>
      <c r="G22">
        <v>673</v>
      </c>
      <c r="H22" t="s">
        <v>23</v>
      </c>
      <c r="I22">
        <v>11</v>
      </c>
      <c r="J22">
        <v>2</v>
      </c>
      <c r="K22" t="s">
        <v>25</v>
      </c>
      <c r="L22">
        <v>1</v>
      </c>
      <c r="M22">
        <v>26</v>
      </c>
      <c r="O22">
        <v>1</v>
      </c>
      <c r="P22">
        <v>2</v>
      </c>
      <c r="Q22" t="s">
        <v>28</v>
      </c>
      <c r="R22">
        <v>3</v>
      </c>
      <c r="S22">
        <v>4011</v>
      </c>
      <c r="T22" t="s">
        <v>21</v>
      </c>
    </row>
    <row r="23" spans="1:20" x14ac:dyDescent="0.25">
      <c r="A23">
        <v>36</v>
      </c>
      <c r="B23" t="str">
        <f t="shared" si="0"/>
        <v>35-44</v>
      </c>
      <c r="C23" t="s">
        <v>16</v>
      </c>
      <c r="F23" t="s">
        <v>17</v>
      </c>
      <c r="G23">
        <v>1218</v>
      </c>
      <c r="H23" t="s">
        <v>18</v>
      </c>
      <c r="I23">
        <v>9</v>
      </c>
      <c r="J23">
        <v>4</v>
      </c>
      <c r="K23" t="s">
        <v>19</v>
      </c>
      <c r="L23">
        <v>1</v>
      </c>
      <c r="M23">
        <v>27</v>
      </c>
      <c r="O23">
        <v>3</v>
      </c>
      <c r="P23">
        <v>1</v>
      </c>
      <c r="Q23" t="s">
        <v>32</v>
      </c>
      <c r="R23">
        <v>1</v>
      </c>
      <c r="S23">
        <v>3407</v>
      </c>
      <c r="T23" t="s">
        <v>21</v>
      </c>
    </row>
    <row r="24" spans="1:20" x14ac:dyDescent="0.25">
      <c r="A24">
        <v>34</v>
      </c>
      <c r="B24" t="str">
        <f t="shared" si="0"/>
        <v>25-34</v>
      </c>
      <c r="C24" t="s">
        <v>21</v>
      </c>
      <c r="F24" t="s">
        <v>17</v>
      </c>
      <c r="G24">
        <v>419</v>
      </c>
      <c r="H24" t="s">
        <v>23</v>
      </c>
      <c r="I24">
        <v>7</v>
      </c>
      <c r="J24">
        <v>4</v>
      </c>
      <c r="K24" t="s">
        <v>19</v>
      </c>
      <c r="L24">
        <v>1</v>
      </c>
      <c r="M24">
        <v>28</v>
      </c>
      <c r="O24">
        <v>1</v>
      </c>
      <c r="P24">
        <v>3</v>
      </c>
      <c r="Q24" t="s">
        <v>33</v>
      </c>
      <c r="R24">
        <v>2</v>
      </c>
      <c r="S24">
        <v>11994</v>
      </c>
      <c r="T24" t="s">
        <v>21</v>
      </c>
    </row>
    <row r="25" spans="1:20" x14ac:dyDescent="0.25">
      <c r="A25">
        <v>21</v>
      </c>
      <c r="B25" t="str">
        <f t="shared" si="0"/>
        <v>18-24</v>
      </c>
      <c r="C25" t="s">
        <v>21</v>
      </c>
      <c r="F25" t="s">
        <v>17</v>
      </c>
      <c r="G25">
        <v>391</v>
      </c>
      <c r="H25" t="s">
        <v>23</v>
      </c>
      <c r="I25">
        <v>15</v>
      </c>
      <c r="J25">
        <v>2</v>
      </c>
      <c r="K25" t="s">
        <v>19</v>
      </c>
      <c r="L25">
        <v>1</v>
      </c>
      <c r="M25">
        <v>30</v>
      </c>
      <c r="O25">
        <v>3</v>
      </c>
      <c r="P25">
        <v>1</v>
      </c>
      <c r="Q25" t="s">
        <v>24</v>
      </c>
      <c r="R25">
        <v>4</v>
      </c>
      <c r="S25">
        <v>1232</v>
      </c>
      <c r="T25" t="s">
        <v>21</v>
      </c>
    </row>
    <row r="26" spans="1:20" x14ac:dyDescent="0.25">
      <c r="A26">
        <v>34</v>
      </c>
      <c r="B26" t="str">
        <f t="shared" si="0"/>
        <v>25-34</v>
      </c>
      <c r="C26" t="s">
        <v>16</v>
      </c>
      <c r="F26" t="s">
        <v>17</v>
      </c>
      <c r="G26">
        <v>699</v>
      </c>
      <c r="H26" t="s">
        <v>23</v>
      </c>
      <c r="I26">
        <v>6</v>
      </c>
      <c r="J26">
        <v>1</v>
      </c>
      <c r="K26" t="s">
        <v>27</v>
      </c>
      <c r="L26">
        <v>1</v>
      </c>
      <c r="M26">
        <v>31</v>
      </c>
      <c r="O26">
        <v>2</v>
      </c>
      <c r="P26">
        <v>1</v>
      </c>
      <c r="Q26" t="s">
        <v>24</v>
      </c>
      <c r="R26">
        <v>1</v>
      </c>
      <c r="S26">
        <v>2960</v>
      </c>
      <c r="T26" t="s">
        <v>21</v>
      </c>
    </row>
    <row r="27" spans="1:20" x14ac:dyDescent="0.25">
      <c r="A27">
        <v>53</v>
      </c>
      <c r="B27" t="str">
        <f t="shared" si="0"/>
        <v>45-54</v>
      </c>
      <c r="C27" t="s">
        <v>21</v>
      </c>
      <c r="F27" t="s">
        <v>17</v>
      </c>
      <c r="G27">
        <v>1282</v>
      </c>
      <c r="H27" t="s">
        <v>23</v>
      </c>
      <c r="I27">
        <v>5</v>
      </c>
      <c r="J27">
        <v>3</v>
      </c>
      <c r="K27" t="s">
        <v>25</v>
      </c>
      <c r="L27">
        <v>1</v>
      </c>
      <c r="M27">
        <v>32</v>
      </c>
      <c r="O27">
        <v>3</v>
      </c>
      <c r="P27">
        <v>5</v>
      </c>
      <c r="Q27" t="s">
        <v>31</v>
      </c>
      <c r="R27">
        <v>3</v>
      </c>
      <c r="S27">
        <v>19094</v>
      </c>
      <c r="T27" t="s">
        <v>21</v>
      </c>
    </row>
    <row r="28" spans="1:20" x14ac:dyDescent="0.25">
      <c r="A28">
        <v>32</v>
      </c>
      <c r="B28" t="str">
        <f t="shared" si="0"/>
        <v>25-34</v>
      </c>
      <c r="C28" t="s">
        <v>16</v>
      </c>
      <c r="F28" t="s">
        <v>22</v>
      </c>
      <c r="G28">
        <v>1125</v>
      </c>
      <c r="H28" t="s">
        <v>23</v>
      </c>
      <c r="I28">
        <v>16</v>
      </c>
      <c r="J28">
        <v>1</v>
      </c>
      <c r="K28" t="s">
        <v>19</v>
      </c>
      <c r="L28">
        <v>1</v>
      </c>
      <c r="M28">
        <v>33</v>
      </c>
      <c r="O28">
        <v>2</v>
      </c>
      <c r="P28">
        <v>1</v>
      </c>
      <c r="Q28" t="s">
        <v>24</v>
      </c>
      <c r="R28">
        <v>1</v>
      </c>
      <c r="S28">
        <v>3919</v>
      </c>
      <c r="T28" t="s">
        <v>16</v>
      </c>
    </row>
    <row r="29" spans="1:20" x14ac:dyDescent="0.25">
      <c r="A29">
        <v>42</v>
      </c>
      <c r="B29" t="str">
        <f t="shared" si="0"/>
        <v>35-44</v>
      </c>
      <c r="C29" t="s">
        <v>21</v>
      </c>
      <c r="F29" t="s">
        <v>17</v>
      </c>
      <c r="G29">
        <v>691</v>
      </c>
      <c r="H29" t="s">
        <v>18</v>
      </c>
      <c r="I29">
        <v>8</v>
      </c>
      <c r="J29">
        <v>4</v>
      </c>
      <c r="K29" t="s">
        <v>34</v>
      </c>
      <c r="L29">
        <v>1</v>
      </c>
      <c r="M29">
        <v>35</v>
      </c>
      <c r="O29">
        <v>3</v>
      </c>
      <c r="P29">
        <v>2</v>
      </c>
      <c r="Q29" t="s">
        <v>20</v>
      </c>
      <c r="R29">
        <v>2</v>
      </c>
      <c r="S29">
        <v>6825</v>
      </c>
      <c r="T29" t="s">
        <v>21</v>
      </c>
    </row>
    <row r="30" spans="1:20" x14ac:dyDescent="0.25">
      <c r="A30">
        <v>44</v>
      </c>
      <c r="B30" t="str">
        <f t="shared" si="0"/>
        <v>35-44</v>
      </c>
      <c r="C30" t="s">
        <v>21</v>
      </c>
      <c r="F30" t="s">
        <v>17</v>
      </c>
      <c r="G30">
        <v>477</v>
      </c>
      <c r="H30" t="s">
        <v>23</v>
      </c>
      <c r="I30">
        <v>7</v>
      </c>
      <c r="J30">
        <v>4</v>
      </c>
      <c r="K30" t="s">
        <v>27</v>
      </c>
      <c r="L30">
        <v>1</v>
      </c>
      <c r="M30">
        <v>36</v>
      </c>
      <c r="O30">
        <v>1</v>
      </c>
      <c r="P30">
        <v>3</v>
      </c>
      <c r="Q30" t="s">
        <v>29</v>
      </c>
      <c r="R30">
        <v>4</v>
      </c>
      <c r="S30">
        <v>10248</v>
      </c>
      <c r="T30" t="s">
        <v>21</v>
      </c>
    </row>
    <row r="31" spans="1:20" x14ac:dyDescent="0.25">
      <c r="A31">
        <v>46</v>
      </c>
      <c r="B31" t="str">
        <f t="shared" si="0"/>
        <v>45-54</v>
      </c>
      <c r="C31" t="s">
        <v>21</v>
      </c>
      <c r="F31" t="s">
        <v>17</v>
      </c>
      <c r="G31">
        <v>705</v>
      </c>
      <c r="H31" t="s">
        <v>18</v>
      </c>
      <c r="I31">
        <v>2</v>
      </c>
      <c r="J31">
        <v>4</v>
      </c>
      <c r="K31" t="s">
        <v>34</v>
      </c>
      <c r="L31">
        <v>1</v>
      </c>
      <c r="M31">
        <v>38</v>
      </c>
      <c r="O31">
        <v>2</v>
      </c>
      <c r="P31">
        <v>5</v>
      </c>
      <c r="Q31" t="s">
        <v>31</v>
      </c>
      <c r="R31">
        <v>1</v>
      </c>
      <c r="S31">
        <v>18947</v>
      </c>
      <c r="T31" t="s">
        <v>21</v>
      </c>
    </row>
    <row r="32" spans="1:20" x14ac:dyDescent="0.25">
      <c r="A32">
        <v>33</v>
      </c>
      <c r="B32" t="str">
        <f t="shared" si="0"/>
        <v>25-34</v>
      </c>
      <c r="C32" t="s">
        <v>21</v>
      </c>
      <c r="F32" t="s">
        <v>17</v>
      </c>
      <c r="G32">
        <v>924</v>
      </c>
      <c r="H32" t="s">
        <v>23</v>
      </c>
      <c r="I32">
        <v>2</v>
      </c>
      <c r="J32">
        <v>3</v>
      </c>
      <c r="K32" t="s">
        <v>27</v>
      </c>
      <c r="L32">
        <v>1</v>
      </c>
      <c r="M32">
        <v>39</v>
      </c>
      <c r="O32">
        <v>3</v>
      </c>
      <c r="P32">
        <v>1</v>
      </c>
      <c r="Q32" t="s">
        <v>26</v>
      </c>
      <c r="R32">
        <v>4</v>
      </c>
      <c r="S32">
        <v>2496</v>
      </c>
      <c r="T32" t="s">
        <v>21</v>
      </c>
    </row>
    <row r="33" spans="1:20" x14ac:dyDescent="0.25">
      <c r="A33">
        <v>44</v>
      </c>
      <c r="B33" t="str">
        <f t="shared" si="0"/>
        <v>35-44</v>
      </c>
      <c r="C33" t="s">
        <v>21</v>
      </c>
      <c r="F33" t="s">
        <v>17</v>
      </c>
      <c r="G33">
        <v>1459</v>
      </c>
      <c r="H33" t="s">
        <v>23</v>
      </c>
      <c r="I33">
        <v>10</v>
      </c>
      <c r="J33">
        <v>4</v>
      </c>
      <c r="K33" t="s">
        <v>25</v>
      </c>
      <c r="L33">
        <v>1</v>
      </c>
      <c r="M33">
        <v>40</v>
      </c>
      <c r="O33">
        <v>4</v>
      </c>
      <c r="P33">
        <v>2</v>
      </c>
      <c r="Q33" t="s">
        <v>29</v>
      </c>
      <c r="R33">
        <v>4</v>
      </c>
      <c r="S33">
        <v>6465</v>
      </c>
      <c r="T33" t="s">
        <v>16</v>
      </c>
    </row>
    <row r="34" spans="1:20" x14ac:dyDescent="0.25">
      <c r="A34">
        <v>30</v>
      </c>
      <c r="B34" t="str">
        <f t="shared" si="0"/>
        <v>25-34</v>
      </c>
      <c r="C34" t="s">
        <v>21</v>
      </c>
      <c r="F34" t="s">
        <v>17</v>
      </c>
      <c r="G34">
        <v>125</v>
      </c>
      <c r="H34" t="s">
        <v>23</v>
      </c>
      <c r="I34">
        <v>9</v>
      </c>
      <c r="J34">
        <v>2</v>
      </c>
      <c r="K34" t="s">
        <v>27</v>
      </c>
      <c r="L34">
        <v>1</v>
      </c>
      <c r="M34">
        <v>41</v>
      </c>
      <c r="O34">
        <v>4</v>
      </c>
      <c r="P34">
        <v>1</v>
      </c>
      <c r="Q34" t="s">
        <v>26</v>
      </c>
      <c r="R34">
        <v>3</v>
      </c>
      <c r="S34">
        <v>2206</v>
      </c>
      <c r="T34" t="s">
        <v>21</v>
      </c>
    </row>
    <row r="35" spans="1:20" x14ac:dyDescent="0.25">
      <c r="A35">
        <v>39</v>
      </c>
      <c r="B35" t="str">
        <f t="shared" si="0"/>
        <v>35-44</v>
      </c>
      <c r="C35" t="s">
        <v>16</v>
      </c>
      <c r="F35" t="s">
        <v>17</v>
      </c>
      <c r="G35">
        <v>895</v>
      </c>
      <c r="H35" t="s">
        <v>18</v>
      </c>
      <c r="I35">
        <v>5</v>
      </c>
      <c r="J35">
        <v>3</v>
      </c>
      <c r="K35" t="s">
        <v>35</v>
      </c>
      <c r="L35">
        <v>1</v>
      </c>
      <c r="M35">
        <v>42</v>
      </c>
      <c r="O35">
        <v>4</v>
      </c>
      <c r="P35">
        <v>2</v>
      </c>
      <c r="Q35" t="s">
        <v>32</v>
      </c>
      <c r="R35">
        <v>4</v>
      </c>
      <c r="S35">
        <v>2086</v>
      </c>
      <c r="T35" t="s">
        <v>21</v>
      </c>
    </row>
    <row r="36" spans="1:20" x14ac:dyDescent="0.25">
      <c r="A36">
        <v>24</v>
      </c>
      <c r="B36" t="str">
        <f t="shared" si="0"/>
        <v>18-24</v>
      </c>
      <c r="C36" t="s">
        <v>16</v>
      </c>
      <c r="F36" t="s">
        <v>17</v>
      </c>
      <c r="G36">
        <v>813</v>
      </c>
      <c r="H36" t="s">
        <v>23</v>
      </c>
      <c r="I36">
        <v>1</v>
      </c>
      <c r="J36">
        <v>3</v>
      </c>
      <c r="K36" t="s">
        <v>27</v>
      </c>
      <c r="L36">
        <v>1</v>
      </c>
      <c r="M36">
        <v>45</v>
      </c>
      <c r="O36">
        <v>2</v>
      </c>
      <c r="P36">
        <v>1</v>
      </c>
      <c r="Q36" t="s">
        <v>24</v>
      </c>
      <c r="R36">
        <v>4</v>
      </c>
      <c r="S36">
        <v>2293</v>
      </c>
      <c r="T36" t="s">
        <v>16</v>
      </c>
    </row>
    <row r="37" spans="1:20" x14ac:dyDescent="0.25">
      <c r="A37">
        <v>43</v>
      </c>
      <c r="B37" t="str">
        <f t="shared" si="0"/>
        <v>35-44</v>
      </c>
      <c r="C37" t="s">
        <v>21</v>
      </c>
      <c r="F37" t="s">
        <v>17</v>
      </c>
      <c r="G37">
        <v>1273</v>
      </c>
      <c r="H37" t="s">
        <v>23</v>
      </c>
      <c r="I37">
        <v>2</v>
      </c>
      <c r="J37">
        <v>2</v>
      </c>
      <c r="K37" t="s">
        <v>27</v>
      </c>
      <c r="L37">
        <v>1</v>
      </c>
      <c r="M37">
        <v>46</v>
      </c>
      <c r="O37">
        <v>4</v>
      </c>
      <c r="P37">
        <v>1</v>
      </c>
      <c r="Q37" t="s">
        <v>24</v>
      </c>
      <c r="R37">
        <v>3</v>
      </c>
      <c r="S37">
        <v>2645</v>
      </c>
      <c r="T37" t="s">
        <v>21</v>
      </c>
    </row>
    <row r="38" spans="1:20" x14ac:dyDescent="0.25">
      <c r="A38">
        <v>50</v>
      </c>
      <c r="B38" t="str">
        <f t="shared" si="0"/>
        <v>45-54</v>
      </c>
      <c r="C38" t="s">
        <v>16</v>
      </c>
      <c r="F38" t="s">
        <v>17</v>
      </c>
      <c r="G38">
        <v>869</v>
      </c>
      <c r="H38" t="s">
        <v>18</v>
      </c>
      <c r="I38">
        <v>3</v>
      </c>
      <c r="J38">
        <v>2</v>
      </c>
      <c r="K38" t="s">
        <v>34</v>
      </c>
      <c r="L38">
        <v>1</v>
      </c>
      <c r="M38">
        <v>47</v>
      </c>
      <c r="O38">
        <v>1</v>
      </c>
      <c r="P38">
        <v>1</v>
      </c>
      <c r="Q38" t="s">
        <v>32</v>
      </c>
      <c r="R38">
        <v>3</v>
      </c>
      <c r="S38">
        <v>2683</v>
      </c>
      <c r="T38" t="s">
        <v>16</v>
      </c>
    </row>
    <row r="39" spans="1:20" x14ac:dyDescent="0.25">
      <c r="A39">
        <v>35</v>
      </c>
      <c r="B39" t="str">
        <f t="shared" si="0"/>
        <v>35-44</v>
      </c>
      <c r="C39" t="s">
        <v>21</v>
      </c>
      <c r="F39" t="s">
        <v>17</v>
      </c>
      <c r="G39">
        <v>890</v>
      </c>
      <c r="H39" t="s">
        <v>18</v>
      </c>
      <c r="I39">
        <v>2</v>
      </c>
      <c r="J39">
        <v>3</v>
      </c>
      <c r="K39" t="s">
        <v>34</v>
      </c>
      <c r="L39">
        <v>1</v>
      </c>
      <c r="M39">
        <v>49</v>
      </c>
      <c r="O39">
        <v>4</v>
      </c>
      <c r="P39">
        <v>1</v>
      </c>
      <c r="Q39" t="s">
        <v>32</v>
      </c>
      <c r="R39">
        <v>4</v>
      </c>
      <c r="S39">
        <v>2014</v>
      </c>
      <c r="T39" t="s">
        <v>21</v>
      </c>
    </row>
    <row r="40" spans="1:20" x14ac:dyDescent="0.25">
      <c r="A40">
        <v>36</v>
      </c>
      <c r="B40" t="str">
        <f t="shared" si="0"/>
        <v>35-44</v>
      </c>
      <c r="C40" t="s">
        <v>21</v>
      </c>
      <c r="F40" t="s">
        <v>17</v>
      </c>
      <c r="G40">
        <v>852</v>
      </c>
      <c r="H40" t="s">
        <v>23</v>
      </c>
      <c r="I40">
        <v>5</v>
      </c>
      <c r="J40">
        <v>4</v>
      </c>
      <c r="K40" t="s">
        <v>19</v>
      </c>
      <c r="L40">
        <v>1</v>
      </c>
      <c r="M40">
        <v>51</v>
      </c>
      <c r="O40">
        <v>2</v>
      </c>
      <c r="P40">
        <v>1</v>
      </c>
      <c r="Q40" t="s">
        <v>24</v>
      </c>
      <c r="R40">
        <v>1</v>
      </c>
      <c r="S40">
        <v>3419</v>
      </c>
      <c r="T40" t="s">
        <v>16</v>
      </c>
    </row>
    <row r="41" spans="1:20" x14ac:dyDescent="0.25">
      <c r="A41">
        <v>33</v>
      </c>
      <c r="B41" t="str">
        <f t="shared" si="0"/>
        <v>25-34</v>
      </c>
      <c r="C41" t="s">
        <v>21</v>
      </c>
      <c r="F41" t="s">
        <v>22</v>
      </c>
      <c r="G41">
        <v>1141</v>
      </c>
      <c r="H41" t="s">
        <v>18</v>
      </c>
      <c r="I41">
        <v>1</v>
      </c>
      <c r="J41">
        <v>3</v>
      </c>
      <c r="K41" t="s">
        <v>19</v>
      </c>
      <c r="L41">
        <v>1</v>
      </c>
      <c r="M41">
        <v>52</v>
      </c>
      <c r="O41">
        <v>3</v>
      </c>
      <c r="P41">
        <v>2</v>
      </c>
      <c r="Q41" t="s">
        <v>20</v>
      </c>
      <c r="R41">
        <v>1</v>
      </c>
      <c r="S41">
        <v>5376</v>
      </c>
      <c r="T41" t="s">
        <v>21</v>
      </c>
    </row>
    <row r="42" spans="1:20" x14ac:dyDescent="0.25">
      <c r="A42">
        <v>35</v>
      </c>
      <c r="B42" t="str">
        <f t="shared" si="0"/>
        <v>35-44</v>
      </c>
      <c r="C42" t="s">
        <v>21</v>
      </c>
      <c r="F42" t="s">
        <v>17</v>
      </c>
      <c r="G42">
        <v>464</v>
      </c>
      <c r="H42" t="s">
        <v>23</v>
      </c>
      <c r="I42">
        <v>4</v>
      </c>
      <c r="J42">
        <v>2</v>
      </c>
      <c r="K42" t="s">
        <v>25</v>
      </c>
      <c r="L42">
        <v>1</v>
      </c>
      <c r="M42">
        <v>53</v>
      </c>
      <c r="O42">
        <v>3</v>
      </c>
      <c r="P42">
        <v>1</v>
      </c>
      <c r="Q42" t="s">
        <v>26</v>
      </c>
      <c r="R42">
        <v>4</v>
      </c>
      <c r="S42">
        <v>1951</v>
      </c>
      <c r="T42" t="s">
        <v>21</v>
      </c>
    </row>
    <row r="43" spans="1:20" x14ac:dyDescent="0.25">
      <c r="A43">
        <v>27</v>
      </c>
      <c r="B43" t="str">
        <f t="shared" si="0"/>
        <v>25-34</v>
      </c>
      <c r="C43" t="s">
        <v>21</v>
      </c>
      <c r="F43" t="s">
        <v>17</v>
      </c>
      <c r="G43">
        <v>1240</v>
      </c>
      <c r="H43" t="s">
        <v>23</v>
      </c>
      <c r="I43">
        <v>2</v>
      </c>
      <c r="J43">
        <v>4</v>
      </c>
      <c r="K43" t="s">
        <v>19</v>
      </c>
      <c r="L43">
        <v>1</v>
      </c>
      <c r="M43">
        <v>54</v>
      </c>
      <c r="O43">
        <v>4</v>
      </c>
      <c r="P43">
        <v>1</v>
      </c>
      <c r="Q43" t="s">
        <v>26</v>
      </c>
      <c r="R43">
        <v>1</v>
      </c>
      <c r="S43">
        <v>2341</v>
      </c>
      <c r="T43" t="s">
        <v>21</v>
      </c>
    </row>
    <row r="44" spans="1:20" x14ac:dyDescent="0.25">
      <c r="A44">
        <v>26</v>
      </c>
      <c r="B44" t="str">
        <f t="shared" si="0"/>
        <v>25-34</v>
      </c>
      <c r="C44" t="s">
        <v>16</v>
      </c>
      <c r="F44" t="s">
        <v>17</v>
      </c>
      <c r="G44">
        <v>1357</v>
      </c>
      <c r="H44" t="s">
        <v>23</v>
      </c>
      <c r="I44">
        <v>25</v>
      </c>
      <c r="J44">
        <v>3</v>
      </c>
      <c r="K44" t="s">
        <v>19</v>
      </c>
      <c r="L44">
        <v>1</v>
      </c>
      <c r="M44">
        <v>55</v>
      </c>
      <c r="O44">
        <v>1</v>
      </c>
      <c r="P44">
        <v>1</v>
      </c>
      <c r="Q44" t="s">
        <v>26</v>
      </c>
      <c r="R44">
        <v>3</v>
      </c>
      <c r="S44">
        <v>2293</v>
      </c>
      <c r="T44" t="s">
        <v>21</v>
      </c>
    </row>
    <row r="45" spans="1:20" x14ac:dyDescent="0.25">
      <c r="A45">
        <v>27</v>
      </c>
      <c r="B45" t="str">
        <f t="shared" si="0"/>
        <v>25-34</v>
      </c>
      <c r="C45" t="s">
        <v>21</v>
      </c>
      <c r="F45" t="s">
        <v>22</v>
      </c>
      <c r="G45">
        <v>994</v>
      </c>
      <c r="H45" t="s">
        <v>18</v>
      </c>
      <c r="I45">
        <v>8</v>
      </c>
      <c r="J45">
        <v>3</v>
      </c>
      <c r="K45" t="s">
        <v>19</v>
      </c>
      <c r="L45">
        <v>1</v>
      </c>
      <c r="M45">
        <v>56</v>
      </c>
      <c r="O45">
        <v>4</v>
      </c>
      <c r="P45">
        <v>3</v>
      </c>
      <c r="Q45" t="s">
        <v>20</v>
      </c>
      <c r="R45">
        <v>3</v>
      </c>
      <c r="S45">
        <v>8726</v>
      </c>
      <c r="T45" t="s">
        <v>21</v>
      </c>
    </row>
    <row r="46" spans="1:20" x14ac:dyDescent="0.25">
      <c r="A46">
        <v>30</v>
      </c>
      <c r="B46" t="str">
        <f t="shared" si="0"/>
        <v>25-34</v>
      </c>
      <c r="C46" t="s">
        <v>21</v>
      </c>
      <c r="F46" t="s">
        <v>22</v>
      </c>
      <c r="G46">
        <v>721</v>
      </c>
      <c r="H46" t="s">
        <v>23</v>
      </c>
      <c r="I46">
        <v>1</v>
      </c>
      <c r="J46">
        <v>2</v>
      </c>
      <c r="K46" t="s">
        <v>27</v>
      </c>
      <c r="L46">
        <v>1</v>
      </c>
      <c r="M46">
        <v>57</v>
      </c>
      <c r="O46">
        <v>3</v>
      </c>
      <c r="P46">
        <v>2</v>
      </c>
      <c r="Q46" t="s">
        <v>26</v>
      </c>
      <c r="R46">
        <v>4</v>
      </c>
      <c r="S46">
        <v>4011</v>
      </c>
      <c r="T46" t="s">
        <v>21</v>
      </c>
    </row>
    <row r="47" spans="1:20" x14ac:dyDescent="0.25">
      <c r="A47">
        <v>41</v>
      </c>
      <c r="B47" t="str">
        <f t="shared" si="0"/>
        <v>35-44</v>
      </c>
      <c r="C47" t="s">
        <v>16</v>
      </c>
      <c r="F47" t="s">
        <v>17</v>
      </c>
      <c r="G47">
        <v>1360</v>
      </c>
      <c r="H47" t="s">
        <v>23</v>
      </c>
      <c r="I47">
        <v>12</v>
      </c>
      <c r="J47">
        <v>3</v>
      </c>
      <c r="K47" t="s">
        <v>35</v>
      </c>
      <c r="L47">
        <v>1</v>
      </c>
      <c r="M47">
        <v>58</v>
      </c>
      <c r="O47">
        <v>2</v>
      </c>
      <c r="P47">
        <v>5</v>
      </c>
      <c r="Q47" t="s">
        <v>33</v>
      </c>
      <c r="R47">
        <v>3</v>
      </c>
      <c r="S47">
        <v>19545</v>
      </c>
      <c r="T47" t="s">
        <v>21</v>
      </c>
    </row>
    <row r="48" spans="1:20" x14ac:dyDescent="0.25">
      <c r="A48">
        <v>34</v>
      </c>
      <c r="B48" t="str">
        <f t="shared" si="0"/>
        <v>25-34</v>
      </c>
      <c r="C48" t="s">
        <v>21</v>
      </c>
      <c r="F48" t="s">
        <v>30</v>
      </c>
      <c r="G48">
        <v>1065</v>
      </c>
      <c r="H48" t="s">
        <v>18</v>
      </c>
      <c r="I48">
        <v>23</v>
      </c>
      <c r="J48">
        <v>4</v>
      </c>
      <c r="K48" t="s">
        <v>34</v>
      </c>
      <c r="L48">
        <v>1</v>
      </c>
      <c r="M48">
        <v>60</v>
      </c>
      <c r="O48">
        <v>2</v>
      </c>
      <c r="P48">
        <v>2</v>
      </c>
      <c r="Q48" t="s">
        <v>20</v>
      </c>
      <c r="R48">
        <v>3</v>
      </c>
      <c r="S48">
        <v>4568</v>
      </c>
      <c r="T48" t="s">
        <v>21</v>
      </c>
    </row>
    <row r="49" spans="1:20" x14ac:dyDescent="0.25">
      <c r="A49">
        <v>37</v>
      </c>
      <c r="B49" t="str">
        <f t="shared" si="0"/>
        <v>35-44</v>
      </c>
      <c r="C49" t="s">
        <v>21</v>
      </c>
      <c r="F49" t="s">
        <v>17</v>
      </c>
      <c r="G49">
        <v>408</v>
      </c>
      <c r="H49" t="s">
        <v>23</v>
      </c>
      <c r="I49">
        <v>19</v>
      </c>
      <c r="J49">
        <v>2</v>
      </c>
      <c r="K49" t="s">
        <v>19</v>
      </c>
      <c r="L49">
        <v>1</v>
      </c>
      <c r="M49">
        <v>61</v>
      </c>
      <c r="O49">
        <v>2</v>
      </c>
      <c r="P49">
        <v>1</v>
      </c>
      <c r="Q49" t="s">
        <v>24</v>
      </c>
      <c r="R49">
        <v>2</v>
      </c>
      <c r="S49">
        <v>3022</v>
      </c>
      <c r="T49" t="s">
        <v>21</v>
      </c>
    </row>
    <row r="50" spans="1:20" x14ac:dyDescent="0.25">
      <c r="A50">
        <v>46</v>
      </c>
      <c r="B50" t="str">
        <f t="shared" si="0"/>
        <v>45-54</v>
      </c>
      <c r="C50" t="s">
        <v>21</v>
      </c>
      <c r="F50" t="s">
        <v>22</v>
      </c>
      <c r="G50">
        <v>1211</v>
      </c>
      <c r="H50" t="s">
        <v>18</v>
      </c>
      <c r="I50">
        <v>5</v>
      </c>
      <c r="J50">
        <v>4</v>
      </c>
      <c r="K50" t="s">
        <v>34</v>
      </c>
      <c r="L50">
        <v>1</v>
      </c>
      <c r="M50">
        <v>62</v>
      </c>
      <c r="O50">
        <v>1</v>
      </c>
      <c r="P50">
        <v>2</v>
      </c>
      <c r="Q50" t="s">
        <v>20</v>
      </c>
      <c r="R50">
        <v>4</v>
      </c>
      <c r="S50">
        <v>5772</v>
      </c>
      <c r="T50" t="s">
        <v>16</v>
      </c>
    </row>
    <row r="51" spans="1:20" x14ac:dyDescent="0.25">
      <c r="A51">
        <v>35</v>
      </c>
      <c r="B51" t="str">
        <f t="shared" si="0"/>
        <v>35-44</v>
      </c>
      <c r="C51" t="s">
        <v>21</v>
      </c>
      <c r="F51" t="s">
        <v>17</v>
      </c>
      <c r="G51">
        <v>1229</v>
      </c>
      <c r="H51" t="s">
        <v>23</v>
      </c>
      <c r="I51">
        <v>8</v>
      </c>
      <c r="J51">
        <v>1</v>
      </c>
      <c r="K51" t="s">
        <v>19</v>
      </c>
      <c r="L51">
        <v>1</v>
      </c>
      <c r="M51">
        <v>63</v>
      </c>
      <c r="O51">
        <v>4</v>
      </c>
      <c r="P51">
        <v>1</v>
      </c>
      <c r="Q51" t="s">
        <v>26</v>
      </c>
      <c r="R51">
        <v>4</v>
      </c>
      <c r="S51">
        <v>2269</v>
      </c>
      <c r="T51" t="s">
        <v>21</v>
      </c>
    </row>
    <row r="52" spans="1:20" x14ac:dyDescent="0.25">
      <c r="A52">
        <v>48</v>
      </c>
      <c r="B52" t="str">
        <f t="shared" si="0"/>
        <v>45-54</v>
      </c>
      <c r="C52" t="s">
        <v>16</v>
      </c>
      <c r="F52" t="s">
        <v>17</v>
      </c>
      <c r="G52">
        <v>626</v>
      </c>
      <c r="H52" t="s">
        <v>23</v>
      </c>
      <c r="I52">
        <v>1</v>
      </c>
      <c r="J52">
        <v>2</v>
      </c>
      <c r="K52" t="s">
        <v>19</v>
      </c>
      <c r="L52">
        <v>1</v>
      </c>
      <c r="M52">
        <v>64</v>
      </c>
      <c r="O52">
        <v>1</v>
      </c>
      <c r="P52">
        <v>3</v>
      </c>
      <c r="Q52" t="s">
        <v>26</v>
      </c>
      <c r="R52">
        <v>3</v>
      </c>
      <c r="S52">
        <v>5381</v>
      </c>
      <c r="T52" t="s">
        <v>16</v>
      </c>
    </row>
    <row r="53" spans="1:20" x14ac:dyDescent="0.25">
      <c r="A53">
        <v>28</v>
      </c>
      <c r="B53" t="str">
        <f t="shared" si="0"/>
        <v>25-34</v>
      </c>
      <c r="C53" t="s">
        <v>16</v>
      </c>
      <c r="F53" t="s">
        <v>17</v>
      </c>
      <c r="G53">
        <v>1434</v>
      </c>
      <c r="H53" t="s">
        <v>23</v>
      </c>
      <c r="I53">
        <v>5</v>
      </c>
      <c r="J53">
        <v>4</v>
      </c>
      <c r="K53" t="s">
        <v>35</v>
      </c>
      <c r="L53">
        <v>1</v>
      </c>
      <c r="M53">
        <v>65</v>
      </c>
      <c r="O53">
        <v>3</v>
      </c>
      <c r="P53">
        <v>1</v>
      </c>
      <c r="Q53" t="s">
        <v>26</v>
      </c>
      <c r="R53">
        <v>3</v>
      </c>
      <c r="S53">
        <v>3441</v>
      </c>
      <c r="T53" t="s">
        <v>16</v>
      </c>
    </row>
    <row r="54" spans="1:20" x14ac:dyDescent="0.25">
      <c r="A54">
        <v>44</v>
      </c>
      <c r="B54" t="str">
        <f t="shared" si="0"/>
        <v>35-44</v>
      </c>
      <c r="C54" t="s">
        <v>21</v>
      </c>
      <c r="F54" t="s">
        <v>17</v>
      </c>
      <c r="G54">
        <v>1488</v>
      </c>
      <c r="H54" t="s">
        <v>18</v>
      </c>
      <c r="I54">
        <v>1</v>
      </c>
      <c r="J54">
        <v>5</v>
      </c>
      <c r="K54" t="s">
        <v>34</v>
      </c>
      <c r="L54">
        <v>1</v>
      </c>
      <c r="M54">
        <v>68</v>
      </c>
      <c r="O54">
        <v>2</v>
      </c>
      <c r="P54">
        <v>2</v>
      </c>
      <c r="Q54" t="s">
        <v>20</v>
      </c>
      <c r="R54">
        <v>1</v>
      </c>
      <c r="S54">
        <v>5454</v>
      </c>
      <c r="T54" t="s">
        <v>16</v>
      </c>
    </row>
    <row r="55" spans="1:20" x14ac:dyDescent="0.25">
      <c r="A55">
        <v>35</v>
      </c>
      <c r="B55" t="str">
        <f t="shared" si="0"/>
        <v>35-44</v>
      </c>
      <c r="C55" t="s">
        <v>21</v>
      </c>
      <c r="F55" t="s">
        <v>30</v>
      </c>
      <c r="G55">
        <v>1097</v>
      </c>
      <c r="H55" t="s">
        <v>23</v>
      </c>
      <c r="I55">
        <v>11</v>
      </c>
      <c r="J55">
        <v>2</v>
      </c>
      <c r="K55" t="s">
        <v>27</v>
      </c>
      <c r="L55">
        <v>1</v>
      </c>
      <c r="M55">
        <v>70</v>
      </c>
      <c r="O55">
        <v>3</v>
      </c>
      <c r="P55">
        <v>3</v>
      </c>
      <c r="Q55" t="s">
        <v>29</v>
      </c>
      <c r="R55">
        <v>1</v>
      </c>
      <c r="S55">
        <v>9884</v>
      </c>
      <c r="T55" t="s">
        <v>16</v>
      </c>
    </row>
    <row r="56" spans="1:20" x14ac:dyDescent="0.25">
      <c r="A56">
        <v>26</v>
      </c>
      <c r="B56" t="str">
        <f t="shared" si="0"/>
        <v>25-34</v>
      </c>
      <c r="C56" t="s">
        <v>21</v>
      </c>
      <c r="F56" t="s">
        <v>17</v>
      </c>
      <c r="G56">
        <v>1443</v>
      </c>
      <c r="H56" t="s">
        <v>18</v>
      </c>
      <c r="I56">
        <v>23</v>
      </c>
      <c r="J56">
        <v>3</v>
      </c>
      <c r="K56" t="s">
        <v>34</v>
      </c>
      <c r="L56">
        <v>1</v>
      </c>
      <c r="M56">
        <v>72</v>
      </c>
      <c r="O56">
        <v>3</v>
      </c>
      <c r="P56">
        <v>2</v>
      </c>
      <c r="Q56" t="s">
        <v>20</v>
      </c>
      <c r="R56">
        <v>4</v>
      </c>
      <c r="S56">
        <v>4157</v>
      </c>
      <c r="T56" t="s">
        <v>16</v>
      </c>
    </row>
    <row r="57" spans="1:20" x14ac:dyDescent="0.25">
      <c r="A57">
        <v>33</v>
      </c>
      <c r="B57" t="str">
        <f t="shared" si="0"/>
        <v>25-34</v>
      </c>
      <c r="C57" t="s">
        <v>21</v>
      </c>
      <c r="F57" t="s">
        <v>22</v>
      </c>
      <c r="G57">
        <v>515</v>
      </c>
      <c r="H57" t="s">
        <v>23</v>
      </c>
      <c r="I57">
        <v>1</v>
      </c>
      <c r="J57">
        <v>2</v>
      </c>
      <c r="K57" t="s">
        <v>19</v>
      </c>
      <c r="L57">
        <v>1</v>
      </c>
      <c r="M57">
        <v>73</v>
      </c>
      <c r="O57">
        <v>1</v>
      </c>
      <c r="P57">
        <v>3</v>
      </c>
      <c r="Q57" t="s">
        <v>33</v>
      </c>
      <c r="R57">
        <v>4</v>
      </c>
      <c r="S57">
        <v>13458</v>
      </c>
      <c r="T57" t="s">
        <v>16</v>
      </c>
    </row>
    <row r="58" spans="1:20" x14ac:dyDescent="0.25">
      <c r="A58">
        <v>35</v>
      </c>
      <c r="B58" t="str">
        <f t="shared" si="0"/>
        <v>35-44</v>
      </c>
      <c r="C58" t="s">
        <v>21</v>
      </c>
      <c r="F58" t="s">
        <v>22</v>
      </c>
      <c r="G58">
        <v>853</v>
      </c>
      <c r="H58" t="s">
        <v>18</v>
      </c>
      <c r="I58">
        <v>18</v>
      </c>
      <c r="J58">
        <v>5</v>
      </c>
      <c r="K58" t="s">
        <v>19</v>
      </c>
      <c r="L58">
        <v>1</v>
      </c>
      <c r="M58">
        <v>74</v>
      </c>
      <c r="O58">
        <v>2</v>
      </c>
      <c r="P58">
        <v>3</v>
      </c>
      <c r="Q58" t="s">
        <v>20</v>
      </c>
      <c r="R58">
        <v>1</v>
      </c>
      <c r="S58">
        <v>9069</v>
      </c>
      <c r="T58" t="s">
        <v>21</v>
      </c>
    </row>
    <row r="59" spans="1:20" x14ac:dyDescent="0.25">
      <c r="A59">
        <v>35</v>
      </c>
      <c r="B59" t="str">
        <f t="shared" si="0"/>
        <v>35-44</v>
      </c>
      <c r="C59" t="s">
        <v>21</v>
      </c>
      <c r="F59" t="s">
        <v>17</v>
      </c>
      <c r="G59">
        <v>1142</v>
      </c>
      <c r="H59" t="s">
        <v>23</v>
      </c>
      <c r="I59">
        <v>23</v>
      </c>
      <c r="J59">
        <v>4</v>
      </c>
      <c r="K59" t="s">
        <v>27</v>
      </c>
      <c r="L59">
        <v>1</v>
      </c>
      <c r="M59">
        <v>75</v>
      </c>
      <c r="O59">
        <v>3</v>
      </c>
      <c r="P59">
        <v>1</v>
      </c>
      <c r="Q59" t="s">
        <v>26</v>
      </c>
      <c r="R59">
        <v>1</v>
      </c>
      <c r="S59">
        <v>4014</v>
      </c>
      <c r="T59" t="s">
        <v>16</v>
      </c>
    </row>
    <row r="60" spans="1:20" x14ac:dyDescent="0.25">
      <c r="A60">
        <v>31</v>
      </c>
      <c r="B60" t="str">
        <f t="shared" si="0"/>
        <v>25-34</v>
      </c>
      <c r="C60" t="s">
        <v>21</v>
      </c>
      <c r="F60" t="s">
        <v>17</v>
      </c>
      <c r="G60">
        <v>655</v>
      </c>
      <c r="H60" t="s">
        <v>23</v>
      </c>
      <c r="I60">
        <v>7</v>
      </c>
      <c r="J60">
        <v>4</v>
      </c>
      <c r="K60" t="s">
        <v>19</v>
      </c>
      <c r="L60">
        <v>1</v>
      </c>
      <c r="M60">
        <v>76</v>
      </c>
      <c r="O60">
        <v>4</v>
      </c>
      <c r="P60">
        <v>2</v>
      </c>
      <c r="Q60" t="s">
        <v>26</v>
      </c>
      <c r="R60">
        <v>4</v>
      </c>
      <c r="S60">
        <v>5915</v>
      </c>
      <c r="T60" t="s">
        <v>21</v>
      </c>
    </row>
    <row r="61" spans="1:20" x14ac:dyDescent="0.25">
      <c r="A61">
        <v>37</v>
      </c>
      <c r="B61" t="str">
        <f t="shared" si="0"/>
        <v>35-44</v>
      </c>
      <c r="C61" t="s">
        <v>21</v>
      </c>
      <c r="F61" t="s">
        <v>17</v>
      </c>
      <c r="G61">
        <v>1115</v>
      </c>
      <c r="H61" t="s">
        <v>23</v>
      </c>
      <c r="I61">
        <v>1</v>
      </c>
      <c r="J61">
        <v>4</v>
      </c>
      <c r="K61" t="s">
        <v>19</v>
      </c>
      <c r="L61">
        <v>1</v>
      </c>
      <c r="M61">
        <v>77</v>
      </c>
      <c r="O61">
        <v>1</v>
      </c>
      <c r="P61">
        <v>2</v>
      </c>
      <c r="Q61" t="s">
        <v>28</v>
      </c>
      <c r="R61">
        <v>3</v>
      </c>
      <c r="S61">
        <v>5993</v>
      </c>
      <c r="T61" t="s">
        <v>21</v>
      </c>
    </row>
    <row r="62" spans="1:20" x14ac:dyDescent="0.25">
      <c r="A62">
        <v>32</v>
      </c>
      <c r="B62" t="str">
        <f t="shared" si="0"/>
        <v>25-34</v>
      </c>
      <c r="C62" t="s">
        <v>21</v>
      </c>
      <c r="F62" t="s">
        <v>17</v>
      </c>
      <c r="G62">
        <v>427</v>
      </c>
      <c r="H62" t="s">
        <v>23</v>
      </c>
      <c r="I62">
        <v>1</v>
      </c>
      <c r="J62">
        <v>3</v>
      </c>
      <c r="K62" t="s">
        <v>27</v>
      </c>
      <c r="L62">
        <v>1</v>
      </c>
      <c r="M62">
        <v>78</v>
      </c>
      <c r="O62">
        <v>1</v>
      </c>
      <c r="P62">
        <v>2</v>
      </c>
      <c r="Q62" t="s">
        <v>28</v>
      </c>
      <c r="R62">
        <v>4</v>
      </c>
      <c r="S62">
        <v>6162</v>
      </c>
      <c r="T62" t="s">
        <v>16</v>
      </c>
    </row>
    <row r="63" spans="1:20" x14ac:dyDescent="0.25">
      <c r="A63">
        <v>38</v>
      </c>
      <c r="B63" t="str">
        <f t="shared" si="0"/>
        <v>35-44</v>
      </c>
      <c r="C63" t="s">
        <v>21</v>
      </c>
      <c r="F63" t="s">
        <v>22</v>
      </c>
      <c r="G63">
        <v>653</v>
      </c>
      <c r="H63" t="s">
        <v>23</v>
      </c>
      <c r="I63">
        <v>29</v>
      </c>
      <c r="J63">
        <v>5</v>
      </c>
      <c r="K63" t="s">
        <v>19</v>
      </c>
      <c r="L63">
        <v>1</v>
      </c>
      <c r="M63">
        <v>79</v>
      </c>
      <c r="O63">
        <v>4</v>
      </c>
      <c r="P63">
        <v>2</v>
      </c>
      <c r="Q63" t="s">
        <v>26</v>
      </c>
      <c r="R63">
        <v>4</v>
      </c>
      <c r="S63">
        <v>2406</v>
      </c>
      <c r="T63" t="s">
        <v>21</v>
      </c>
    </row>
    <row r="64" spans="1:20" x14ac:dyDescent="0.25">
      <c r="A64">
        <v>50</v>
      </c>
      <c r="B64" t="str">
        <f t="shared" si="0"/>
        <v>45-54</v>
      </c>
      <c r="C64" t="s">
        <v>21</v>
      </c>
      <c r="F64" t="s">
        <v>17</v>
      </c>
      <c r="G64">
        <v>989</v>
      </c>
      <c r="H64" t="s">
        <v>23</v>
      </c>
      <c r="I64">
        <v>7</v>
      </c>
      <c r="J64">
        <v>2</v>
      </c>
      <c r="K64" t="s">
        <v>27</v>
      </c>
      <c r="L64">
        <v>1</v>
      </c>
      <c r="M64">
        <v>80</v>
      </c>
      <c r="O64">
        <v>2</v>
      </c>
      <c r="P64">
        <v>5</v>
      </c>
      <c r="Q64" t="s">
        <v>33</v>
      </c>
      <c r="R64">
        <v>3</v>
      </c>
      <c r="S64">
        <v>18740</v>
      </c>
      <c r="T64" t="s">
        <v>16</v>
      </c>
    </row>
    <row r="65" spans="1:20" x14ac:dyDescent="0.25">
      <c r="A65">
        <v>59</v>
      </c>
      <c r="B65" t="str">
        <f t="shared" si="0"/>
        <v>55+</v>
      </c>
      <c r="C65" t="s">
        <v>21</v>
      </c>
      <c r="F65" t="s">
        <v>17</v>
      </c>
      <c r="G65">
        <v>1435</v>
      </c>
      <c r="H65" t="s">
        <v>18</v>
      </c>
      <c r="I65">
        <v>25</v>
      </c>
      <c r="J65">
        <v>3</v>
      </c>
      <c r="K65" t="s">
        <v>19</v>
      </c>
      <c r="L65">
        <v>1</v>
      </c>
      <c r="M65">
        <v>81</v>
      </c>
      <c r="O65">
        <v>1</v>
      </c>
      <c r="P65">
        <v>3</v>
      </c>
      <c r="Q65" t="s">
        <v>20</v>
      </c>
      <c r="R65">
        <v>1</v>
      </c>
      <c r="S65">
        <v>7637</v>
      </c>
      <c r="T65" t="s">
        <v>21</v>
      </c>
    </row>
    <row r="66" spans="1:20" x14ac:dyDescent="0.25">
      <c r="A66">
        <v>36</v>
      </c>
      <c r="B66" t="str">
        <f t="shared" si="0"/>
        <v>35-44</v>
      </c>
      <c r="C66" t="s">
        <v>21</v>
      </c>
      <c r="F66" t="s">
        <v>17</v>
      </c>
      <c r="G66">
        <v>1223</v>
      </c>
      <c r="H66" t="s">
        <v>23</v>
      </c>
      <c r="I66">
        <v>8</v>
      </c>
      <c r="J66">
        <v>3</v>
      </c>
      <c r="K66" t="s">
        <v>35</v>
      </c>
      <c r="L66">
        <v>1</v>
      </c>
      <c r="M66">
        <v>83</v>
      </c>
      <c r="O66">
        <v>3</v>
      </c>
      <c r="P66">
        <v>3</v>
      </c>
      <c r="Q66" t="s">
        <v>29</v>
      </c>
      <c r="R66">
        <v>3</v>
      </c>
      <c r="S66">
        <v>10096</v>
      </c>
      <c r="T66" t="s">
        <v>21</v>
      </c>
    </row>
    <row r="67" spans="1:20" x14ac:dyDescent="0.25">
      <c r="A67">
        <v>55</v>
      </c>
      <c r="B67" t="str">
        <f t="shared" ref="B67:B130" si="1">IF(A67&lt;=24,"18-24",IF(A67&lt;=34,"25-34",IF(A67&lt;=44,"35-44",IF(A67&lt;=54,"45-54","55+"))))</f>
        <v>55+</v>
      </c>
      <c r="C67" t="s">
        <v>21</v>
      </c>
      <c r="F67" t="s">
        <v>17</v>
      </c>
      <c r="G67">
        <v>836</v>
      </c>
      <c r="H67" t="s">
        <v>23</v>
      </c>
      <c r="I67">
        <v>8</v>
      </c>
      <c r="J67">
        <v>3</v>
      </c>
      <c r="K67" t="s">
        <v>27</v>
      </c>
      <c r="L67">
        <v>1</v>
      </c>
      <c r="M67">
        <v>84</v>
      </c>
      <c r="O67">
        <v>4</v>
      </c>
      <c r="P67">
        <v>4</v>
      </c>
      <c r="Q67" t="s">
        <v>31</v>
      </c>
      <c r="R67">
        <v>3</v>
      </c>
      <c r="S67">
        <v>14756</v>
      </c>
      <c r="T67" t="s">
        <v>16</v>
      </c>
    </row>
    <row r="68" spans="1:20" x14ac:dyDescent="0.25">
      <c r="A68">
        <v>36</v>
      </c>
      <c r="B68" t="str">
        <f t="shared" si="1"/>
        <v>35-44</v>
      </c>
      <c r="C68" t="s">
        <v>21</v>
      </c>
      <c r="F68" t="s">
        <v>22</v>
      </c>
      <c r="G68">
        <v>1195</v>
      </c>
      <c r="H68" t="s">
        <v>23</v>
      </c>
      <c r="I68">
        <v>11</v>
      </c>
      <c r="J68">
        <v>3</v>
      </c>
      <c r="K68" t="s">
        <v>19</v>
      </c>
      <c r="L68">
        <v>1</v>
      </c>
      <c r="M68">
        <v>85</v>
      </c>
      <c r="O68">
        <v>2</v>
      </c>
      <c r="P68">
        <v>2</v>
      </c>
      <c r="Q68" t="s">
        <v>28</v>
      </c>
      <c r="R68">
        <v>2</v>
      </c>
      <c r="S68">
        <v>6499</v>
      </c>
      <c r="T68" t="s">
        <v>21</v>
      </c>
    </row>
    <row r="69" spans="1:20" x14ac:dyDescent="0.25">
      <c r="A69">
        <v>45</v>
      </c>
      <c r="B69" t="str">
        <f t="shared" si="1"/>
        <v>45-54</v>
      </c>
      <c r="C69" t="s">
        <v>21</v>
      </c>
      <c r="F69" t="s">
        <v>17</v>
      </c>
      <c r="G69">
        <v>1339</v>
      </c>
      <c r="H69" t="s">
        <v>23</v>
      </c>
      <c r="I69">
        <v>7</v>
      </c>
      <c r="J69">
        <v>3</v>
      </c>
      <c r="K69" t="s">
        <v>19</v>
      </c>
      <c r="L69">
        <v>1</v>
      </c>
      <c r="M69">
        <v>86</v>
      </c>
      <c r="O69">
        <v>2</v>
      </c>
      <c r="P69">
        <v>3</v>
      </c>
      <c r="Q69" t="s">
        <v>24</v>
      </c>
      <c r="R69">
        <v>1</v>
      </c>
      <c r="S69">
        <v>9724</v>
      </c>
      <c r="T69" t="s">
        <v>21</v>
      </c>
    </row>
    <row r="70" spans="1:20" x14ac:dyDescent="0.25">
      <c r="A70">
        <v>35</v>
      </c>
      <c r="B70" t="str">
        <f t="shared" si="1"/>
        <v>35-44</v>
      </c>
      <c r="C70" t="s">
        <v>21</v>
      </c>
      <c r="F70" t="s">
        <v>22</v>
      </c>
      <c r="G70">
        <v>664</v>
      </c>
      <c r="H70" t="s">
        <v>23</v>
      </c>
      <c r="I70">
        <v>1</v>
      </c>
      <c r="J70">
        <v>3</v>
      </c>
      <c r="K70" t="s">
        <v>27</v>
      </c>
      <c r="L70">
        <v>1</v>
      </c>
      <c r="M70">
        <v>88</v>
      </c>
      <c r="O70">
        <v>2</v>
      </c>
      <c r="P70">
        <v>1</v>
      </c>
      <c r="Q70" t="s">
        <v>24</v>
      </c>
      <c r="R70">
        <v>1</v>
      </c>
      <c r="S70">
        <v>2194</v>
      </c>
      <c r="T70" t="s">
        <v>21</v>
      </c>
    </row>
    <row r="71" spans="1:20" x14ac:dyDescent="0.25">
      <c r="A71">
        <v>36</v>
      </c>
      <c r="B71" t="str">
        <f t="shared" si="1"/>
        <v>35-44</v>
      </c>
      <c r="C71" t="s">
        <v>16</v>
      </c>
      <c r="F71" t="s">
        <v>17</v>
      </c>
      <c r="G71">
        <v>318</v>
      </c>
      <c r="H71" t="s">
        <v>23</v>
      </c>
      <c r="I71">
        <v>9</v>
      </c>
      <c r="J71">
        <v>3</v>
      </c>
      <c r="K71" t="s">
        <v>27</v>
      </c>
      <c r="L71">
        <v>1</v>
      </c>
      <c r="M71">
        <v>90</v>
      </c>
      <c r="O71">
        <v>4</v>
      </c>
      <c r="P71">
        <v>1</v>
      </c>
      <c r="Q71" t="s">
        <v>24</v>
      </c>
      <c r="R71">
        <v>3</v>
      </c>
      <c r="S71">
        <v>3388</v>
      </c>
      <c r="T71" t="s">
        <v>16</v>
      </c>
    </row>
    <row r="72" spans="1:20" x14ac:dyDescent="0.25">
      <c r="A72">
        <v>59</v>
      </c>
      <c r="B72" t="str">
        <f t="shared" si="1"/>
        <v>55+</v>
      </c>
      <c r="C72" t="s">
        <v>21</v>
      </c>
      <c r="F72" t="s">
        <v>22</v>
      </c>
      <c r="G72">
        <v>1225</v>
      </c>
      <c r="H72" t="s">
        <v>18</v>
      </c>
      <c r="I72">
        <v>1</v>
      </c>
      <c r="J72">
        <v>1</v>
      </c>
      <c r="K72" t="s">
        <v>19</v>
      </c>
      <c r="L72">
        <v>1</v>
      </c>
      <c r="M72">
        <v>91</v>
      </c>
      <c r="O72">
        <v>1</v>
      </c>
      <c r="P72">
        <v>2</v>
      </c>
      <c r="Q72" t="s">
        <v>20</v>
      </c>
      <c r="R72">
        <v>3</v>
      </c>
      <c r="S72">
        <v>5473</v>
      </c>
      <c r="T72" t="s">
        <v>21</v>
      </c>
    </row>
    <row r="73" spans="1:20" x14ac:dyDescent="0.25">
      <c r="A73">
        <v>29</v>
      </c>
      <c r="B73" t="str">
        <f t="shared" si="1"/>
        <v>25-34</v>
      </c>
      <c r="C73" t="s">
        <v>21</v>
      </c>
      <c r="F73" t="s">
        <v>17</v>
      </c>
      <c r="G73">
        <v>1328</v>
      </c>
      <c r="H73" t="s">
        <v>23</v>
      </c>
      <c r="I73">
        <v>2</v>
      </c>
      <c r="J73">
        <v>3</v>
      </c>
      <c r="K73" t="s">
        <v>19</v>
      </c>
      <c r="L73">
        <v>1</v>
      </c>
      <c r="M73">
        <v>94</v>
      </c>
      <c r="O73">
        <v>3</v>
      </c>
      <c r="P73">
        <v>1</v>
      </c>
      <c r="Q73" t="s">
        <v>24</v>
      </c>
      <c r="R73">
        <v>2</v>
      </c>
      <c r="S73">
        <v>2703</v>
      </c>
      <c r="T73" t="s">
        <v>21</v>
      </c>
    </row>
    <row r="74" spans="1:20" x14ac:dyDescent="0.25">
      <c r="A74">
        <v>31</v>
      </c>
      <c r="B74" t="str">
        <f t="shared" si="1"/>
        <v>25-34</v>
      </c>
      <c r="C74" t="s">
        <v>21</v>
      </c>
      <c r="F74" t="s">
        <v>17</v>
      </c>
      <c r="G74">
        <v>1082</v>
      </c>
      <c r="H74" t="s">
        <v>23</v>
      </c>
      <c r="I74">
        <v>1</v>
      </c>
      <c r="J74">
        <v>4</v>
      </c>
      <c r="K74" t="s">
        <v>27</v>
      </c>
      <c r="L74">
        <v>1</v>
      </c>
      <c r="M74">
        <v>95</v>
      </c>
      <c r="O74">
        <v>3</v>
      </c>
      <c r="P74">
        <v>1</v>
      </c>
      <c r="Q74" t="s">
        <v>24</v>
      </c>
      <c r="R74">
        <v>2</v>
      </c>
      <c r="S74">
        <v>2501</v>
      </c>
      <c r="T74" t="s">
        <v>21</v>
      </c>
    </row>
    <row r="75" spans="1:20" x14ac:dyDescent="0.25">
      <c r="A75">
        <v>32</v>
      </c>
      <c r="B75" t="str">
        <f t="shared" si="1"/>
        <v>25-34</v>
      </c>
      <c r="C75" t="s">
        <v>21</v>
      </c>
      <c r="F75" t="s">
        <v>17</v>
      </c>
      <c r="G75">
        <v>548</v>
      </c>
      <c r="H75" t="s">
        <v>23</v>
      </c>
      <c r="I75">
        <v>1</v>
      </c>
      <c r="J75">
        <v>3</v>
      </c>
      <c r="K75" t="s">
        <v>19</v>
      </c>
      <c r="L75">
        <v>1</v>
      </c>
      <c r="M75">
        <v>96</v>
      </c>
      <c r="O75">
        <v>2</v>
      </c>
      <c r="P75">
        <v>2</v>
      </c>
      <c r="Q75" t="s">
        <v>24</v>
      </c>
      <c r="R75">
        <v>2</v>
      </c>
      <c r="S75">
        <v>6220</v>
      </c>
      <c r="T75" t="s">
        <v>21</v>
      </c>
    </row>
    <row r="76" spans="1:20" x14ac:dyDescent="0.25">
      <c r="A76">
        <v>36</v>
      </c>
      <c r="B76" t="str">
        <f t="shared" si="1"/>
        <v>35-44</v>
      </c>
      <c r="C76" t="s">
        <v>21</v>
      </c>
      <c r="F76" t="s">
        <v>17</v>
      </c>
      <c r="G76">
        <v>132</v>
      </c>
      <c r="H76" t="s">
        <v>23</v>
      </c>
      <c r="I76">
        <v>6</v>
      </c>
      <c r="J76">
        <v>3</v>
      </c>
      <c r="K76" t="s">
        <v>19</v>
      </c>
      <c r="L76">
        <v>1</v>
      </c>
      <c r="M76">
        <v>97</v>
      </c>
      <c r="O76">
        <v>2</v>
      </c>
      <c r="P76">
        <v>1</v>
      </c>
      <c r="Q76" t="s">
        <v>26</v>
      </c>
      <c r="R76">
        <v>4</v>
      </c>
      <c r="S76">
        <v>3038</v>
      </c>
      <c r="T76" t="s">
        <v>21</v>
      </c>
    </row>
    <row r="77" spans="1:20" x14ac:dyDescent="0.25">
      <c r="A77">
        <v>31</v>
      </c>
      <c r="B77" t="str">
        <f t="shared" si="1"/>
        <v>25-34</v>
      </c>
      <c r="C77" t="s">
        <v>21</v>
      </c>
      <c r="F77" t="s">
        <v>17</v>
      </c>
      <c r="G77">
        <v>746</v>
      </c>
      <c r="H77" t="s">
        <v>23</v>
      </c>
      <c r="I77">
        <v>8</v>
      </c>
      <c r="J77">
        <v>4</v>
      </c>
      <c r="K77" t="s">
        <v>19</v>
      </c>
      <c r="L77">
        <v>1</v>
      </c>
      <c r="M77">
        <v>98</v>
      </c>
      <c r="O77">
        <v>3</v>
      </c>
      <c r="P77">
        <v>2</v>
      </c>
      <c r="Q77" t="s">
        <v>28</v>
      </c>
      <c r="R77">
        <v>4</v>
      </c>
      <c r="S77">
        <v>4424</v>
      </c>
      <c r="T77" t="s">
        <v>21</v>
      </c>
    </row>
    <row r="78" spans="1:20" x14ac:dyDescent="0.25">
      <c r="A78">
        <v>35</v>
      </c>
      <c r="B78" t="str">
        <f t="shared" si="1"/>
        <v>35-44</v>
      </c>
      <c r="C78" t="s">
        <v>21</v>
      </c>
      <c r="F78" t="s">
        <v>17</v>
      </c>
      <c r="G78">
        <v>776</v>
      </c>
      <c r="H78" t="s">
        <v>18</v>
      </c>
      <c r="I78">
        <v>1</v>
      </c>
      <c r="J78">
        <v>4</v>
      </c>
      <c r="K78" t="s">
        <v>34</v>
      </c>
      <c r="L78">
        <v>1</v>
      </c>
      <c r="M78">
        <v>100</v>
      </c>
      <c r="O78">
        <v>3</v>
      </c>
      <c r="P78">
        <v>2</v>
      </c>
      <c r="Q78" t="s">
        <v>20</v>
      </c>
      <c r="R78">
        <v>1</v>
      </c>
      <c r="S78">
        <v>4312</v>
      </c>
      <c r="T78" t="s">
        <v>21</v>
      </c>
    </row>
    <row r="79" spans="1:20" x14ac:dyDescent="0.25">
      <c r="A79">
        <v>45</v>
      </c>
      <c r="B79" t="str">
        <f t="shared" si="1"/>
        <v>45-54</v>
      </c>
      <c r="C79" t="s">
        <v>21</v>
      </c>
      <c r="F79" t="s">
        <v>17</v>
      </c>
      <c r="G79">
        <v>193</v>
      </c>
      <c r="H79" t="s">
        <v>23</v>
      </c>
      <c r="I79">
        <v>6</v>
      </c>
      <c r="J79">
        <v>4</v>
      </c>
      <c r="K79" t="s">
        <v>25</v>
      </c>
      <c r="L79">
        <v>1</v>
      </c>
      <c r="M79">
        <v>101</v>
      </c>
      <c r="O79">
        <v>4</v>
      </c>
      <c r="P79">
        <v>3</v>
      </c>
      <c r="Q79" t="s">
        <v>33</v>
      </c>
      <c r="R79">
        <v>1</v>
      </c>
      <c r="S79">
        <v>13245</v>
      </c>
      <c r="T79" t="s">
        <v>16</v>
      </c>
    </row>
    <row r="80" spans="1:20" x14ac:dyDescent="0.25">
      <c r="A80">
        <v>37</v>
      </c>
      <c r="B80" t="str">
        <f t="shared" si="1"/>
        <v>35-44</v>
      </c>
      <c r="C80" t="s">
        <v>21</v>
      </c>
      <c r="F80" t="s">
        <v>17</v>
      </c>
      <c r="G80">
        <v>397</v>
      </c>
      <c r="H80" t="s">
        <v>23</v>
      </c>
      <c r="I80">
        <v>7</v>
      </c>
      <c r="J80">
        <v>4</v>
      </c>
      <c r="K80" t="s">
        <v>27</v>
      </c>
      <c r="L80">
        <v>1</v>
      </c>
      <c r="M80">
        <v>102</v>
      </c>
      <c r="O80">
        <v>1</v>
      </c>
      <c r="P80">
        <v>3</v>
      </c>
      <c r="Q80" t="s">
        <v>33</v>
      </c>
      <c r="R80">
        <v>3</v>
      </c>
      <c r="S80">
        <v>13664</v>
      </c>
      <c r="T80" t="s">
        <v>21</v>
      </c>
    </row>
    <row r="81" spans="1:20" x14ac:dyDescent="0.25">
      <c r="A81">
        <v>46</v>
      </c>
      <c r="B81" t="str">
        <f t="shared" si="1"/>
        <v>45-54</v>
      </c>
      <c r="C81" t="s">
        <v>21</v>
      </c>
      <c r="F81" t="s">
        <v>17</v>
      </c>
      <c r="G81">
        <v>945</v>
      </c>
      <c r="H81" t="s">
        <v>36</v>
      </c>
      <c r="I81">
        <v>5</v>
      </c>
      <c r="J81">
        <v>2</v>
      </c>
      <c r="K81" t="s">
        <v>27</v>
      </c>
      <c r="L81">
        <v>1</v>
      </c>
      <c r="M81">
        <v>103</v>
      </c>
      <c r="O81">
        <v>2</v>
      </c>
      <c r="P81">
        <v>2</v>
      </c>
      <c r="Q81" t="s">
        <v>36</v>
      </c>
      <c r="R81">
        <v>2</v>
      </c>
      <c r="S81">
        <v>5021</v>
      </c>
      <c r="T81" t="s">
        <v>16</v>
      </c>
    </row>
    <row r="82" spans="1:20" x14ac:dyDescent="0.25">
      <c r="A82">
        <v>30</v>
      </c>
      <c r="B82" t="str">
        <f t="shared" si="1"/>
        <v>25-34</v>
      </c>
      <c r="C82" t="s">
        <v>21</v>
      </c>
      <c r="F82" t="s">
        <v>17</v>
      </c>
      <c r="G82">
        <v>852</v>
      </c>
      <c r="H82" t="s">
        <v>23</v>
      </c>
      <c r="I82">
        <v>1</v>
      </c>
      <c r="J82">
        <v>1</v>
      </c>
      <c r="K82" t="s">
        <v>19</v>
      </c>
      <c r="L82">
        <v>1</v>
      </c>
      <c r="M82">
        <v>104</v>
      </c>
      <c r="O82">
        <v>4</v>
      </c>
      <c r="P82">
        <v>2</v>
      </c>
      <c r="Q82" t="s">
        <v>26</v>
      </c>
      <c r="R82">
        <v>4</v>
      </c>
      <c r="S82">
        <v>5126</v>
      </c>
      <c r="T82" t="s">
        <v>16</v>
      </c>
    </row>
    <row r="83" spans="1:20" x14ac:dyDescent="0.25">
      <c r="A83">
        <v>35</v>
      </c>
      <c r="B83" t="str">
        <f t="shared" si="1"/>
        <v>35-44</v>
      </c>
      <c r="C83" t="s">
        <v>21</v>
      </c>
      <c r="F83" t="s">
        <v>17</v>
      </c>
      <c r="G83">
        <v>1214</v>
      </c>
      <c r="H83" t="s">
        <v>23</v>
      </c>
      <c r="I83">
        <v>1</v>
      </c>
      <c r="J83">
        <v>3</v>
      </c>
      <c r="K83" t="s">
        <v>27</v>
      </c>
      <c r="L83">
        <v>1</v>
      </c>
      <c r="M83">
        <v>105</v>
      </c>
      <c r="O83">
        <v>2</v>
      </c>
      <c r="P83">
        <v>1</v>
      </c>
      <c r="Q83" t="s">
        <v>24</v>
      </c>
      <c r="R83">
        <v>3</v>
      </c>
      <c r="S83">
        <v>2859</v>
      </c>
      <c r="T83" t="s">
        <v>21</v>
      </c>
    </row>
    <row r="84" spans="1:20" x14ac:dyDescent="0.25">
      <c r="A84">
        <v>55</v>
      </c>
      <c r="B84" t="str">
        <f t="shared" si="1"/>
        <v>55+</v>
      </c>
      <c r="C84" t="s">
        <v>21</v>
      </c>
      <c r="F84" t="s">
        <v>17</v>
      </c>
      <c r="G84">
        <v>111</v>
      </c>
      <c r="H84" t="s">
        <v>18</v>
      </c>
      <c r="I84">
        <v>1</v>
      </c>
      <c r="J84">
        <v>2</v>
      </c>
      <c r="K84" t="s">
        <v>19</v>
      </c>
      <c r="L84">
        <v>1</v>
      </c>
      <c r="M84">
        <v>106</v>
      </c>
      <c r="O84">
        <v>1</v>
      </c>
      <c r="P84">
        <v>3</v>
      </c>
      <c r="Q84" t="s">
        <v>20</v>
      </c>
      <c r="R84">
        <v>4</v>
      </c>
      <c r="S84">
        <v>10239</v>
      </c>
      <c r="T84" t="s">
        <v>21</v>
      </c>
    </row>
    <row r="85" spans="1:20" x14ac:dyDescent="0.25">
      <c r="A85">
        <v>38</v>
      </c>
      <c r="B85" t="str">
        <f t="shared" si="1"/>
        <v>35-44</v>
      </c>
      <c r="C85" t="s">
        <v>21</v>
      </c>
      <c r="F85" t="s">
        <v>30</v>
      </c>
      <c r="G85">
        <v>573</v>
      </c>
      <c r="H85" t="s">
        <v>23</v>
      </c>
      <c r="I85">
        <v>6</v>
      </c>
      <c r="J85">
        <v>3</v>
      </c>
      <c r="K85" t="s">
        <v>27</v>
      </c>
      <c r="L85">
        <v>1</v>
      </c>
      <c r="M85">
        <v>107</v>
      </c>
      <c r="O85">
        <v>2</v>
      </c>
      <c r="P85">
        <v>2</v>
      </c>
      <c r="Q85" t="s">
        <v>24</v>
      </c>
      <c r="R85">
        <v>4</v>
      </c>
      <c r="S85">
        <v>5329</v>
      </c>
      <c r="T85" t="s">
        <v>16</v>
      </c>
    </row>
    <row r="86" spans="1:20" x14ac:dyDescent="0.25">
      <c r="A86">
        <v>34</v>
      </c>
      <c r="B86" t="str">
        <f t="shared" si="1"/>
        <v>25-34</v>
      </c>
      <c r="C86" t="s">
        <v>21</v>
      </c>
      <c r="F86" t="s">
        <v>17</v>
      </c>
      <c r="G86">
        <v>1153</v>
      </c>
      <c r="H86" t="s">
        <v>23</v>
      </c>
      <c r="I86">
        <v>1</v>
      </c>
      <c r="J86">
        <v>2</v>
      </c>
      <c r="K86" t="s">
        <v>27</v>
      </c>
      <c r="L86">
        <v>1</v>
      </c>
      <c r="M86">
        <v>110</v>
      </c>
      <c r="O86">
        <v>1</v>
      </c>
      <c r="P86">
        <v>2</v>
      </c>
      <c r="Q86" t="s">
        <v>28</v>
      </c>
      <c r="R86">
        <v>2</v>
      </c>
      <c r="S86">
        <v>4325</v>
      </c>
      <c r="T86" t="s">
        <v>21</v>
      </c>
    </row>
    <row r="87" spans="1:20" x14ac:dyDescent="0.25">
      <c r="A87">
        <v>56</v>
      </c>
      <c r="B87" t="str">
        <f t="shared" si="1"/>
        <v>55+</v>
      </c>
      <c r="C87" t="s">
        <v>21</v>
      </c>
      <c r="F87" t="s">
        <v>17</v>
      </c>
      <c r="G87">
        <v>1400</v>
      </c>
      <c r="H87" t="s">
        <v>23</v>
      </c>
      <c r="I87">
        <v>7</v>
      </c>
      <c r="J87">
        <v>3</v>
      </c>
      <c r="K87" t="s">
        <v>19</v>
      </c>
      <c r="L87">
        <v>1</v>
      </c>
      <c r="M87">
        <v>112</v>
      </c>
      <c r="O87">
        <v>4</v>
      </c>
      <c r="P87">
        <v>3</v>
      </c>
      <c r="Q87" t="s">
        <v>28</v>
      </c>
      <c r="R87">
        <v>4</v>
      </c>
      <c r="S87">
        <v>7260</v>
      </c>
      <c r="T87" t="s">
        <v>21</v>
      </c>
    </row>
    <row r="88" spans="1:20" x14ac:dyDescent="0.25">
      <c r="A88">
        <v>23</v>
      </c>
      <c r="B88" t="str">
        <f t="shared" si="1"/>
        <v>18-24</v>
      </c>
      <c r="C88" t="s">
        <v>21</v>
      </c>
      <c r="F88" t="s">
        <v>17</v>
      </c>
      <c r="G88">
        <v>541</v>
      </c>
      <c r="H88" t="s">
        <v>18</v>
      </c>
      <c r="I88">
        <v>2</v>
      </c>
      <c r="J88">
        <v>1</v>
      </c>
      <c r="K88" t="s">
        <v>35</v>
      </c>
      <c r="L88">
        <v>1</v>
      </c>
      <c r="M88">
        <v>113</v>
      </c>
      <c r="O88">
        <v>3</v>
      </c>
      <c r="P88">
        <v>1</v>
      </c>
      <c r="Q88" t="s">
        <v>32</v>
      </c>
      <c r="R88">
        <v>1</v>
      </c>
      <c r="S88">
        <v>2322</v>
      </c>
      <c r="T88" t="s">
        <v>21</v>
      </c>
    </row>
    <row r="89" spans="1:20" x14ac:dyDescent="0.25">
      <c r="A89">
        <v>51</v>
      </c>
      <c r="B89" t="str">
        <f t="shared" si="1"/>
        <v>45-54</v>
      </c>
      <c r="C89" t="s">
        <v>21</v>
      </c>
      <c r="F89" t="s">
        <v>17</v>
      </c>
      <c r="G89">
        <v>432</v>
      </c>
      <c r="H89" t="s">
        <v>23</v>
      </c>
      <c r="I89">
        <v>9</v>
      </c>
      <c r="J89">
        <v>4</v>
      </c>
      <c r="K89" t="s">
        <v>19</v>
      </c>
      <c r="L89">
        <v>1</v>
      </c>
      <c r="M89">
        <v>116</v>
      </c>
      <c r="O89">
        <v>4</v>
      </c>
      <c r="P89">
        <v>1</v>
      </c>
      <c r="Q89" t="s">
        <v>26</v>
      </c>
      <c r="R89">
        <v>4</v>
      </c>
      <c r="S89">
        <v>2075</v>
      </c>
      <c r="T89" t="s">
        <v>21</v>
      </c>
    </row>
    <row r="90" spans="1:20" x14ac:dyDescent="0.25">
      <c r="A90">
        <v>30</v>
      </c>
      <c r="B90" t="str">
        <f t="shared" si="1"/>
        <v>25-34</v>
      </c>
      <c r="C90" t="s">
        <v>21</v>
      </c>
      <c r="F90" t="s">
        <v>17</v>
      </c>
      <c r="G90">
        <v>288</v>
      </c>
      <c r="H90" t="s">
        <v>23</v>
      </c>
      <c r="I90">
        <v>2</v>
      </c>
      <c r="J90">
        <v>3</v>
      </c>
      <c r="K90" t="s">
        <v>19</v>
      </c>
      <c r="L90">
        <v>1</v>
      </c>
      <c r="M90">
        <v>117</v>
      </c>
      <c r="O90">
        <v>3</v>
      </c>
      <c r="P90">
        <v>2</v>
      </c>
      <c r="Q90" t="s">
        <v>29</v>
      </c>
      <c r="R90">
        <v>4</v>
      </c>
      <c r="S90">
        <v>4152</v>
      </c>
      <c r="T90" t="s">
        <v>21</v>
      </c>
    </row>
    <row r="91" spans="1:20" x14ac:dyDescent="0.25">
      <c r="A91">
        <v>46</v>
      </c>
      <c r="B91" t="str">
        <f t="shared" si="1"/>
        <v>45-54</v>
      </c>
      <c r="C91" t="s">
        <v>16</v>
      </c>
      <c r="F91" t="s">
        <v>17</v>
      </c>
      <c r="G91">
        <v>669</v>
      </c>
      <c r="H91" t="s">
        <v>18</v>
      </c>
      <c r="I91">
        <v>9</v>
      </c>
      <c r="J91">
        <v>2</v>
      </c>
      <c r="K91" t="s">
        <v>27</v>
      </c>
      <c r="L91">
        <v>1</v>
      </c>
      <c r="M91">
        <v>118</v>
      </c>
      <c r="O91">
        <v>3</v>
      </c>
      <c r="P91">
        <v>3</v>
      </c>
      <c r="Q91" t="s">
        <v>20</v>
      </c>
      <c r="R91">
        <v>4</v>
      </c>
      <c r="S91">
        <v>9619</v>
      </c>
      <c r="T91" t="s">
        <v>21</v>
      </c>
    </row>
    <row r="92" spans="1:20" x14ac:dyDescent="0.25">
      <c r="A92">
        <v>40</v>
      </c>
      <c r="B92" t="str">
        <f t="shared" si="1"/>
        <v>35-44</v>
      </c>
      <c r="C92" t="s">
        <v>21</v>
      </c>
      <c r="F92" t="s">
        <v>22</v>
      </c>
      <c r="G92">
        <v>530</v>
      </c>
      <c r="H92" t="s">
        <v>23</v>
      </c>
      <c r="I92">
        <v>1</v>
      </c>
      <c r="J92">
        <v>4</v>
      </c>
      <c r="K92" t="s">
        <v>19</v>
      </c>
      <c r="L92">
        <v>1</v>
      </c>
      <c r="M92">
        <v>119</v>
      </c>
      <c r="O92">
        <v>3</v>
      </c>
      <c r="P92">
        <v>4</v>
      </c>
      <c r="Q92" t="s">
        <v>29</v>
      </c>
      <c r="R92">
        <v>2</v>
      </c>
      <c r="S92">
        <v>13503</v>
      </c>
      <c r="T92" t="s">
        <v>21</v>
      </c>
    </row>
    <row r="93" spans="1:20" x14ac:dyDescent="0.25">
      <c r="A93">
        <v>51</v>
      </c>
      <c r="B93" t="str">
        <f t="shared" si="1"/>
        <v>45-54</v>
      </c>
      <c r="C93" t="s">
        <v>21</v>
      </c>
      <c r="F93" t="s">
        <v>17</v>
      </c>
      <c r="G93">
        <v>632</v>
      </c>
      <c r="H93" t="s">
        <v>18</v>
      </c>
      <c r="I93">
        <v>21</v>
      </c>
      <c r="J93">
        <v>4</v>
      </c>
      <c r="K93" t="s">
        <v>34</v>
      </c>
      <c r="L93">
        <v>1</v>
      </c>
      <c r="M93">
        <v>120</v>
      </c>
      <c r="O93">
        <v>3</v>
      </c>
      <c r="P93">
        <v>2</v>
      </c>
      <c r="Q93" t="s">
        <v>20</v>
      </c>
      <c r="R93">
        <v>4</v>
      </c>
      <c r="S93">
        <v>5441</v>
      </c>
      <c r="T93" t="s">
        <v>16</v>
      </c>
    </row>
    <row r="94" spans="1:20" x14ac:dyDescent="0.25">
      <c r="A94">
        <v>30</v>
      </c>
      <c r="B94" t="str">
        <f t="shared" si="1"/>
        <v>25-34</v>
      </c>
      <c r="C94" t="s">
        <v>21</v>
      </c>
      <c r="F94" t="s">
        <v>17</v>
      </c>
      <c r="G94">
        <v>1334</v>
      </c>
      <c r="H94" t="s">
        <v>18</v>
      </c>
      <c r="I94">
        <v>4</v>
      </c>
      <c r="J94">
        <v>2</v>
      </c>
      <c r="K94" t="s">
        <v>27</v>
      </c>
      <c r="L94">
        <v>1</v>
      </c>
      <c r="M94">
        <v>121</v>
      </c>
      <c r="O94">
        <v>3</v>
      </c>
      <c r="P94">
        <v>2</v>
      </c>
      <c r="Q94" t="s">
        <v>20</v>
      </c>
      <c r="R94">
        <v>2</v>
      </c>
      <c r="S94">
        <v>5209</v>
      </c>
      <c r="T94" t="s">
        <v>16</v>
      </c>
    </row>
    <row r="95" spans="1:20" x14ac:dyDescent="0.25">
      <c r="A95">
        <v>46</v>
      </c>
      <c r="B95" t="str">
        <f t="shared" si="1"/>
        <v>45-54</v>
      </c>
      <c r="C95" t="s">
        <v>21</v>
      </c>
      <c r="F95" t="s">
        <v>22</v>
      </c>
      <c r="G95">
        <v>638</v>
      </c>
      <c r="H95" t="s">
        <v>23</v>
      </c>
      <c r="I95">
        <v>1</v>
      </c>
      <c r="J95">
        <v>3</v>
      </c>
      <c r="K95" t="s">
        <v>27</v>
      </c>
      <c r="L95">
        <v>1</v>
      </c>
      <c r="M95">
        <v>124</v>
      </c>
      <c r="O95">
        <v>3</v>
      </c>
      <c r="P95">
        <v>3</v>
      </c>
      <c r="Q95" t="s">
        <v>29</v>
      </c>
      <c r="R95">
        <v>1</v>
      </c>
      <c r="S95">
        <v>10673</v>
      </c>
      <c r="T95" t="s">
        <v>16</v>
      </c>
    </row>
    <row r="96" spans="1:20" x14ac:dyDescent="0.25">
      <c r="A96">
        <v>32</v>
      </c>
      <c r="B96" t="str">
        <f t="shared" si="1"/>
        <v>25-34</v>
      </c>
      <c r="C96" t="s">
        <v>21</v>
      </c>
      <c r="F96" t="s">
        <v>17</v>
      </c>
      <c r="G96">
        <v>1093</v>
      </c>
      <c r="H96" t="s">
        <v>18</v>
      </c>
      <c r="I96">
        <v>6</v>
      </c>
      <c r="J96">
        <v>4</v>
      </c>
      <c r="K96" t="s">
        <v>27</v>
      </c>
      <c r="L96">
        <v>1</v>
      </c>
      <c r="M96">
        <v>125</v>
      </c>
      <c r="O96">
        <v>2</v>
      </c>
      <c r="P96">
        <v>2</v>
      </c>
      <c r="Q96" t="s">
        <v>20</v>
      </c>
      <c r="R96">
        <v>3</v>
      </c>
      <c r="S96">
        <v>5010</v>
      </c>
      <c r="T96" t="s">
        <v>21</v>
      </c>
    </row>
    <row r="97" spans="1:20" x14ac:dyDescent="0.25">
      <c r="A97">
        <v>54</v>
      </c>
      <c r="B97" t="str">
        <f t="shared" si="1"/>
        <v>45-54</v>
      </c>
      <c r="C97" t="s">
        <v>21</v>
      </c>
      <c r="F97" t="s">
        <v>17</v>
      </c>
      <c r="G97">
        <v>1217</v>
      </c>
      <c r="H97" t="s">
        <v>23</v>
      </c>
      <c r="I97">
        <v>2</v>
      </c>
      <c r="J97">
        <v>4</v>
      </c>
      <c r="K97" t="s">
        <v>35</v>
      </c>
      <c r="L97">
        <v>1</v>
      </c>
      <c r="M97">
        <v>126</v>
      </c>
      <c r="O97">
        <v>1</v>
      </c>
      <c r="P97">
        <v>3</v>
      </c>
      <c r="Q97" t="s">
        <v>33</v>
      </c>
      <c r="R97">
        <v>3</v>
      </c>
      <c r="S97">
        <v>13549</v>
      </c>
      <c r="T97" t="s">
        <v>21</v>
      </c>
    </row>
    <row r="98" spans="1:20" x14ac:dyDescent="0.25">
      <c r="A98">
        <v>24</v>
      </c>
      <c r="B98" t="str">
        <f t="shared" si="1"/>
        <v>18-24</v>
      </c>
      <c r="C98" t="s">
        <v>21</v>
      </c>
      <c r="F98" t="s">
        <v>17</v>
      </c>
      <c r="G98">
        <v>1353</v>
      </c>
      <c r="H98" t="s">
        <v>18</v>
      </c>
      <c r="I98">
        <v>3</v>
      </c>
      <c r="J98">
        <v>2</v>
      </c>
      <c r="K98" t="s">
        <v>25</v>
      </c>
      <c r="L98">
        <v>1</v>
      </c>
      <c r="M98">
        <v>128</v>
      </c>
      <c r="O98">
        <v>1</v>
      </c>
      <c r="P98">
        <v>2</v>
      </c>
      <c r="Q98" t="s">
        <v>20</v>
      </c>
      <c r="R98">
        <v>3</v>
      </c>
      <c r="S98">
        <v>4999</v>
      </c>
      <c r="T98" t="s">
        <v>21</v>
      </c>
    </row>
    <row r="99" spans="1:20" x14ac:dyDescent="0.25">
      <c r="A99">
        <v>28</v>
      </c>
      <c r="B99" t="str">
        <f t="shared" si="1"/>
        <v>25-34</v>
      </c>
      <c r="C99" t="s">
        <v>21</v>
      </c>
      <c r="F99" t="s">
        <v>30</v>
      </c>
      <c r="G99">
        <v>120</v>
      </c>
      <c r="H99" t="s">
        <v>18</v>
      </c>
      <c r="I99">
        <v>4</v>
      </c>
      <c r="J99">
        <v>3</v>
      </c>
      <c r="K99" t="s">
        <v>27</v>
      </c>
      <c r="L99">
        <v>1</v>
      </c>
      <c r="M99">
        <v>129</v>
      </c>
      <c r="O99">
        <v>2</v>
      </c>
      <c r="P99">
        <v>2</v>
      </c>
      <c r="Q99" t="s">
        <v>20</v>
      </c>
      <c r="R99">
        <v>3</v>
      </c>
      <c r="S99">
        <v>4221</v>
      </c>
      <c r="T99" t="s">
        <v>21</v>
      </c>
    </row>
    <row r="100" spans="1:20" x14ac:dyDescent="0.25">
      <c r="A100">
        <v>58</v>
      </c>
      <c r="B100" t="str">
        <f t="shared" si="1"/>
        <v>55+</v>
      </c>
      <c r="C100" t="s">
        <v>21</v>
      </c>
      <c r="F100" t="s">
        <v>17</v>
      </c>
      <c r="G100">
        <v>682</v>
      </c>
      <c r="H100" t="s">
        <v>18</v>
      </c>
      <c r="I100">
        <v>10</v>
      </c>
      <c r="J100">
        <v>4</v>
      </c>
      <c r="K100" t="s">
        <v>27</v>
      </c>
      <c r="L100">
        <v>1</v>
      </c>
      <c r="M100">
        <v>131</v>
      </c>
      <c r="O100">
        <v>4</v>
      </c>
      <c r="P100">
        <v>4</v>
      </c>
      <c r="Q100" t="s">
        <v>20</v>
      </c>
      <c r="R100">
        <v>3</v>
      </c>
      <c r="S100">
        <v>13872</v>
      </c>
      <c r="T100" t="s">
        <v>21</v>
      </c>
    </row>
    <row r="101" spans="1:20" x14ac:dyDescent="0.25">
      <c r="A101">
        <v>44</v>
      </c>
      <c r="B101" t="str">
        <f t="shared" si="1"/>
        <v>35-44</v>
      </c>
      <c r="C101" t="s">
        <v>21</v>
      </c>
      <c r="F101" t="s">
        <v>30</v>
      </c>
      <c r="G101">
        <v>489</v>
      </c>
      <c r="H101" t="s">
        <v>23</v>
      </c>
      <c r="I101">
        <v>23</v>
      </c>
      <c r="J101">
        <v>3</v>
      </c>
      <c r="K101" t="s">
        <v>27</v>
      </c>
      <c r="L101">
        <v>1</v>
      </c>
      <c r="M101">
        <v>132</v>
      </c>
      <c r="O101">
        <v>2</v>
      </c>
      <c r="P101">
        <v>2</v>
      </c>
      <c r="Q101" t="s">
        <v>26</v>
      </c>
      <c r="R101">
        <v>2</v>
      </c>
      <c r="S101">
        <v>2042</v>
      </c>
      <c r="T101" t="s">
        <v>21</v>
      </c>
    </row>
    <row r="102" spans="1:20" x14ac:dyDescent="0.25">
      <c r="A102">
        <v>37</v>
      </c>
      <c r="B102" t="str">
        <f t="shared" si="1"/>
        <v>35-44</v>
      </c>
      <c r="C102" t="s">
        <v>16</v>
      </c>
      <c r="F102" t="s">
        <v>17</v>
      </c>
      <c r="G102">
        <v>807</v>
      </c>
      <c r="H102" t="s">
        <v>36</v>
      </c>
      <c r="I102">
        <v>6</v>
      </c>
      <c r="J102">
        <v>4</v>
      </c>
      <c r="K102" t="s">
        <v>36</v>
      </c>
      <c r="L102">
        <v>1</v>
      </c>
      <c r="M102">
        <v>133</v>
      </c>
      <c r="O102">
        <v>3</v>
      </c>
      <c r="P102">
        <v>1</v>
      </c>
      <c r="Q102" t="s">
        <v>36</v>
      </c>
      <c r="R102">
        <v>1</v>
      </c>
      <c r="S102">
        <v>2073</v>
      </c>
      <c r="T102" t="s">
        <v>16</v>
      </c>
    </row>
    <row r="103" spans="1:20" x14ac:dyDescent="0.25">
      <c r="A103">
        <v>32</v>
      </c>
      <c r="B103" t="str">
        <f t="shared" si="1"/>
        <v>25-34</v>
      </c>
      <c r="C103" t="s">
        <v>21</v>
      </c>
      <c r="F103" t="s">
        <v>17</v>
      </c>
      <c r="G103">
        <v>827</v>
      </c>
      <c r="H103" t="s">
        <v>23</v>
      </c>
      <c r="I103">
        <v>1</v>
      </c>
      <c r="J103">
        <v>1</v>
      </c>
      <c r="K103" t="s">
        <v>19</v>
      </c>
      <c r="L103">
        <v>1</v>
      </c>
      <c r="M103">
        <v>134</v>
      </c>
      <c r="O103">
        <v>4</v>
      </c>
      <c r="P103">
        <v>1</v>
      </c>
      <c r="Q103" t="s">
        <v>24</v>
      </c>
      <c r="R103">
        <v>1</v>
      </c>
      <c r="S103">
        <v>2956</v>
      </c>
      <c r="T103" t="s">
        <v>21</v>
      </c>
    </row>
    <row r="104" spans="1:20" x14ac:dyDescent="0.25">
      <c r="A104">
        <v>20</v>
      </c>
      <c r="B104" t="str">
        <f t="shared" si="1"/>
        <v>18-24</v>
      </c>
      <c r="C104" t="s">
        <v>16</v>
      </c>
      <c r="F104" t="s">
        <v>22</v>
      </c>
      <c r="G104">
        <v>871</v>
      </c>
      <c r="H104" t="s">
        <v>23</v>
      </c>
      <c r="I104">
        <v>6</v>
      </c>
      <c r="J104">
        <v>3</v>
      </c>
      <c r="K104" t="s">
        <v>19</v>
      </c>
      <c r="L104">
        <v>1</v>
      </c>
      <c r="M104">
        <v>137</v>
      </c>
      <c r="O104">
        <v>4</v>
      </c>
      <c r="P104">
        <v>1</v>
      </c>
      <c r="Q104" t="s">
        <v>26</v>
      </c>
      <c r="R104">
        <v>4</v>
      </c>
      <c r="S104">
        <v>2926</v>
      </c>
      <c r="T104" t="s">
        <v>16</v>
      </c>
    </row>
    <row r="105" spans="1:20" x14ac:dyDescent="0.25">
      <c r="A105">
        <v>34</v>
      </c>
      <c r="B105" t="str">
        <f t="shared" si="1"/>
        <v>25-34</v>
      </c>
      <c r="C105" t="s">
        <v>21</v>
      </c>
      <c r="F105" t="s">
        <v>17</v>
      </c>
      <c r="G105">
        <v>665</v>
      </c>
      <c r="H105" t="s">
        <v>23</v>
      </c>
      <c r="I105">
        <v>6</v>
      </c>
      <c r="J105">
        <v>4</v>
      </c>
      <c r="K105" t="s">
        <v>25</v>
      </c>
      <c r="L105">
        <v>1</v>
      </c>
      <c r="M105">
        <v>138</v>
      </c>
      <c r="O105">
        <v>1</v>
      </c>
      <c r="P105">
        <v>2</v>
      </c>
      <c r="Q105" t="s">
        <v>24</v>
      </c>
      <c r="R105">
        <v>3</v>
      </c>
      <c r="S105">
        <v>4809</v>
      </c>
      <c r="T105" t="s">
        <v>21</v>
      </c>
    </row>
    <row r="106" spans="1:20" x14ac:dyDescent="0.25">
      <c r="A106">
        <v>37</v>
      </c>
      <c r="B106" t="str">
        <f t="shared" si="1"/>
        <v>35-44</v>
      </c>
      <c r="C106" t="s">
        <v>21</v>
      </c>
      <c r="F106" t="s">
        <v>30</v>
      </c>
      <c r="G106">
        <v>1040</v>
      </c>
      <c r="H106" t="s">
        <v>23</v>
      </c>
      <c r="I106">
        <v>2</v>
      </c>
      <c r="J106">
        <v>2</v>
      </c>
      <c r="K106" t="s">
        <v>19</v>
      </c>
      <c r="L106">
        <v>1</v>
      </c>
      <c r="M106">
        <v>139</v>
      </c>
      <c r="O106">
        <v>3</v>
      </c>
      <c r="P106">
        <v>2</v>
      </c>
      <c r="Q106" t="s">
        <v>29</v>
      </c>
      <c r="R106">
        <v>4</v>
      </c>
      <c r="S106">
        <v>5163</v>
      </c>
      <c r="T106" t="s">
        <v>21</v>
      </c>
    </row>
    <row r="107" spans="1:20" x14ac:dyDescent="0.25">
      <c r="A107">
        <v>59</v>
      </c>
      <c r="B107" t="str">
        <f t="shared" si="1"/>
        <v>55+</v>
      </c>
      <c r="C107" t="s">
        <v>21</v>
      </c>
      <c r="F107" t="s">
        <v>30</v>
      </c>
      <c r="G107">
        <v>1420</v>
      </c>
      <c r="H107" t="s">
        <v>36</v>
      </c>
      <c r="I107">
        <v>2</v>
      </c>
      <c r="J107">
        <v>4</v>
      </c>
      <c r="K107" t="s">
        <v>36</v>
      </c>
      <c r="L107">
        <v>1</v>
      </c>
      <c r="M107">
        <v>140</v>
      </c>
      <c r="O107">
        <v>3</v>
      </c>
      <c r="P107">
        <v>5</v>
      </c>
      <c r="Q107" t="s">
        <v>31</v>
      </c>
      <c r="R107">
        <v>4</v>
      </c>
      <c r="S107">
        <v>18844</v>
      </c>
      <c r="T107" t="s">
        <v>21</v>
      </c>
    </row>
    <row r="108" spans="1:20" x14ac:dyDescent="0.25">
      <c r="A108">
        <v>50</v>
      </c>
      <c r="B108" t="str">
        <f t="shared" si="1"/>
        <v>45-54</v>
      </c>
      <c r="C108" t="s">
        <v>21</v>
      </c>
      <c r="F108" t="s">
        <v>22</v>
      </c>
      <c r="G108">
        <v>1115</v>
      </c>
      <c r="H108" t="s">
        <v>23</v>
      </c>
      <c r="I108">
        <v>1</v>
      </c>
      <c r="J108">
        <v>3</v>
      </c>
      <c r="K108" t="s">
        <v>19</v>
      </c>
      <c r="L108">
        <v>1</v>
      </c>
      <c r="M108">
        <v>141</v>
      </c>
      <c r="O108">
        <v>1</v>
      </c>
      <c r="P108">
        <v>5</v>
      </c>
      <c r="Q108" t="s">
        <v>33</v>
      </c>
      <c r="R108">
        <v>2</v>
      </c>
      <c r="S108">
        <v>18172</v>
      </c>
      <c r="T108" t="s">
        <v>16</v>
      </c>
    </row>
    <row r="109" spans="1:20" x14ac:dyDescent="0.25">
      <c r="A109">
        <v>25</v>
      </c>
      <c r="B109" t="str">
        <f t="shared" si="1"/>
        <v>25-34</v>
      </c>
      <c r="C109" t="s">
        <v>16</v>
      </c>
      <c r="F109" t="s">
        <v>17</v>
      </c>
      <c r="G109">
        <v>240</v>
      </c>
      <c r="H109" t="s">
        <v>18</v>
      </c>
      <c r="I109">
        <v>5</v>
      </c>
      <c r="J109">
        <v>3</v>
      </c>
      <c r="K109" t="s">
        <v>34</v>
      </c>
      <c r="L109">
        <v>1</v>
      </c>
      <c r="M109">
        <v>142</v>
      </c>
      <c r="O109">
        <v>3</v>
      </c>
      <c r="P109">
        <v>2</v>
      </c>
      <c r="Q109" t="s">
        <v>20</v>
      </c>
      <c r="R109">
        <v>3</v>
      </c>
      <c r="S109">
        <v>5744</v>
      </c>
      <c r="T109" t="s">
        <v>16</v>
      </c>
    </row>
    <row r="110" spans="1:20" x14ac:dyDescent="0.25">
      <c r="A110">
        <v>25</v>
      </c>
      <c r="B110" t="str">
        <f t="shared" si="1"/>
        <v>25-34</v>
      </c>
      <c r="C110" t="s">
        <v>21</v>
      </c>
      <c r="F110" t="s">
        <v>17</v>
      </c>
      <c r="G110">
        <v>1280</v>
      </c>
      <c r="H110" t="s">
        <v>23</v>
      </c>
      <c r="I110">
        <v>7</v>
      </c>
      <c r="J110">
        <v>1</v>
      </c>
      <c r="K110" t="s">
        <v>27</v>
      </c>
      <c r="L110">
        <v>1</v>
      </c>
      <c r="M110">
        <v>143</v>
      </c>
      <c r="O110">
        <v>4</v>
      </c>
      <c r="P110">
        <v>1</v>
      </c>
      <c r="Q110" t="s">
        <v>24</v>
      </c>
      <c r="R110">
        <v>4</v>
      </c>
      <c r="S110">
        <v>2889</v>
      </c>
      <c r="T110" t="s">
        <v>21</v>
      </c>
    </row>
    <row r="111" spans="1:20" x14ac:dyDescent="0.25">
      <c r="A111">
        <v>22</v>
      </c>
      <c r="B111" t="str">
        <f t="shared" si="1"/>
        <v>18-24</v>
      </c>
      <c r="C111" t="s">
        <v>21</v>
      </c>
      <c r="F111" t="s">
        <v>17</v>
      </c>
      <c r="G111">
        <v>534</v>
      </c>
      <c r="H111" t="s">
        <v>23</v>
      </c>
      <c r="I111">
        <v>15</v>
      </c>
      <c r="J111">
        <v>3</v>
      </c>
      <c r="K111" t="s">
        <v>27</v>
      </c>
      <c r="L111">
        <v>1</v>
      </c>
      <c r="M111">
        <v>144</v>
      </c>
      <c r="O111">
        <v>2</v>
      </c>
      <c r="P111">
        <v>1</v>
      </c>
      <c r="Q111" t="s">
        <v>26</v>
      </c>
      <c r="R111">
        <v>4</v>
      </c>
      <c r="S111">
        <v>2871</v>
      </c>
      <c r="T111" t="s">
        <v>21</v>
      </c>
    </row>
    <row r="112" spans="1:20" x14ac:dyDescent="0.25">
      <c r="A112">
        <v>51</v>
      </c>
      <c r="B112" t="str">
        <f t="shared" si="1"/>
        <v>45-54</v>
      </c>
      <c r="C112" t="s">
        <v>21</v>
      </c>
      <c r="F112" t="s">
        <v>22</v>
      </c>
      <c r="G112">
        <v>1456</v>
      </c>
      <c r="H112" t="s">
        <v>23</v>
      </c>
      <c r="I112">
        <v>1</v>
      </c>
      <c r="J112">
        <v>4</v>
      </c>
      <c r="K112" t="s">
        <v>27</v>
      </c>
      <c r="L112">
        <v>1</v>
      </c>
      <c r="M112">
        <v>145</v>
      </c>
      <c r="O112">
        <v>1</v>
      </c>
      <c r="P112">
        <v>3</v>
      </c>
      <c r="Q112" t="s">
        <v>29</v>
      </c>
      <c r="R112">
        <v>1</v>
      </c>
      <c r="S112">
        <v>7484</v>
      </c>
      <c r="T112" t="s">
        <v>21</v>
      </c>
    </row>
    <row r="113" spans="1:20" x14ac:dyDescent="0.25">
      <c r="A113">
        <v>34</v>
      </c>
      <c r="B113" t="str">
        <f t="shared" si="1"/>
        <v>25-34</v>
      </c>
      <c r="C113" t="s">
        <v>16</v>
      </c>
      <c r="F113" t="s">
        <v>22</v>
      </c>
      <c r="G113">
        <v>658</v>
      </c>
      <c r="H113" t="s">
        <v>23</v>
      </c>
      <c r="I113">
        <v>7</v>
      </c>
      <c r="J113">
        <v>3</v>
      </c>
      <c r="K113" t="s">
        <v>19</v>
      </c>
      <c r="L113">
        <v>1</v>
      </c>
      <c r="M113">
        <v>147</v>
      </c>
      <c r="O113">
        <v>1</v>
      </c>
      <c r="P113">
        <v>2</v>
      </c>
      <c r="Q113" t="s">
        <v>26</v>
      </c>
      <c r="R113">
        <v>3</v>
      </c>
      <c r="S113">
        <v>6074</v>
      </c>
      <c r="T113" t="s">
        <v>16</v>
      </c>
    </row>
    <row r="114" spans="1:20" x14ac:dyDescent="0.25">
      <c r="A114">
        <v>54</v>
      </c>
      <c r="B114" t="str">
        <f t="shared" si="1"/>
        <v>45-54</v>
      </c>
      <c r="C114" t="s">
        <v>21</v>
      </c>
      <c r="F114" t="s">
        <v>30</v>
      </c>
      <c r="G114">
        <v>142</v>
      </c>
      <c r="H114" t="s">
        <v>36</v>
      </c>
      <c r="I114">
        <v>26</v>
      </c>
      <c r="J114">
        <v>3</v>
      </c>
      <c r="K114" t="s">
        <v>36</v>
      </c>
      <c r="L114">
        <v>1</v>
      </c>
      <c r="M114">
        <v>148</v>
      </c>
      <c r="O114">
        <v>4</v>
      </c>
      <c r="P114">
        <v>4</v>
      </c>
      <c r="Q114" t="s">
        <v>31</v>
      </c>
      <c r="R114">
        <v>4</v>
      </c>
      <c r="S114">
        <v>17328</v>
      </c>
      <c r="T114" t="s">
        <v>16</v>
      </c>
    </row>
    <row r="115" spans="1:20" x14ac:dyDescent="0.25">
      <c r="A115">
        <v>24</v>
      </c>
      <c r="B115" t="str">
        <f t="shared" si="1"/>
        <v>18-24</v>
      </c>
      <c r="C115" t="s">
        <v>21</v>
      </c>
      <c r="F115" t="s">
        <v>17</v>
      </c>
      <c r="G115">
        <v>1127</v>
      </c>
      <c r="H115" t="s">
        <v>23</v>
      </c>
      <c r="I115">
        <v>18</v>
      </c>
      <c r="J115">
        <v>1</v>
      </c>
      <c r="K115" t="s">
        <v>19</v>
      </c>
      <c r="L115">
        <v>1</v>
      </c>
      <c r="M115">
        <v>150</v>
      </c>
      <c r="O115">
        <v>2</v>
      </c>
      <c r="P115">
        <v>1</v>
      </c>
      <c r="Q115" t="s">
        <v>26</v>
      </c>
      <c r="R115">
        <v>3</v>
      </c>
      <c r="S115">
        <v>2774</v>
      </c>
      <c r="T115" t="s">
        <v>21</v>
      </c>
    </row>
    <row r="116" spans="1:20" x14ac:dyDescent="0.25">
      <c r="A116">
        <v>34</v>
      </c>
      <c r="B116" t="str">
        <f t="shared" si="1"/>
        <v>25-34</v>
      </c>
      <c r="C116" t="s">
        <v>21</v>
      </c>
      <c r="F116" t="s">
        <v>17</v>
      </c>
      <c r="G116">
        <v>1031</v>
      </c>
      <c r="H116" t="s">
        <v>23</v>
      </c>
      <c r="I116">
        <v>6</v>
      </c>
      <c r="J116">
        <v>4</v>
      </c>
      <c r="K116" t="s">
        <v>19</v>
      </c>
      <c r="L116">
        <v>1</v>
      </c>
      <c r="M116">
        <v>151</v>
      </c>
      <c r="O116">
        <v>3</v>
      </c>
      <c r="P116">
        <v>2</v>
      </c>
      <c r="Q116" t="s">
        <v>24</v>
      </c>
      <c r="R116">
        <v>2</v>
      </c>
      <c r="S116">
        <v>4505</v>
      </c>
      <c r="T116" t="s">
        <v>21</v>
      </c>
    </row>
    <row r="117" spans="1:20" x14ac:dyDescent="0.25">
      <c r="A117">
        <v>37</v>
      </c>
      <c r="B117" t="str">
        <f t="shared" si="1"/>
        <v>35-44</v>
      </c>
      <c r="C117" t="s">
        <v>21</v>
      </c>
      <c r="F117" t="s">
        <v>17</v>
      </c>
      <c r="G117">
        <v>1189</v>
      </c>
      <c r="H117" t="s">
        <v>18</v>
      </c>
      <c r="I117">
        <v>3</v>
      </c>
      <c r="J117">
        <v>3</v>
      </c>
      <c r="K117" t="s">
        <v>19</v>
      </c>
      <c r="L117">
        <v>1</v>
      </c>
      <c r="M117">
        <v>152</v>
      </c>
      <c r="O117">
        <v>3</v>
      </c>
      <c r="P117">
        <v>3</v>
      </c>
      <c r="Q117" t="s">
        <v>20</v>
      </c>
      <c r="R117">
        <v>4</v>
      </c>
      <c r="S117">
        <v>7428</v>
      </c>
      <c r="T117" t="s">
        <v>21</v>
      </c>
    </row>
    <row r="118" spans="1:20" x14ac:dyDescent="0.25">
      <c r="A118">
        <v>34</v>
      </c>
      <c r="B118" t="str">
        <f t="shared" si="1"/>
        <v>25-34</v>
      </c>
      <c r="C118" t="s">
        <v>21</v>
      </c>
      <c r="F118" t="s">
        <v>17</v>
      </c>
      <c r="G118">
        <v>1354</v>
      </c>
      <c r="H118" t="s">
        <v>23</v>
      </c>
      <c r="I118">
        <v>5</v>
      </c>
      <c r="J118">
        <v>3</v>
      </c>
      <c r="K118" t="s">
        <v>27</v>
      </c>
      <c r="L118">
        <v>1</v>
      </c>
      <c r="M118">
        <v>153</v>
      </c>
      <c r="O118">
        <v>3</v>
      </c>
      <c r="P118">
        <v>3</v>
      </c>
      <c r="Q118" t="s">
        <v>31</v>
      </c>
      <c r="R118">
        <v>1</v>
      </c>
      <c r="S118">
        <v>11631</v>
      </c>
      <c r="T118" t="s">
        <v>21</v>
      </c>
    </row>
    <row r="119" spans="1:20" x14ac:dyDescent="0.25">
      <c r="A119">
        <v>36</v>
      </c>
      <c r="B119" t="str">
        <f t="shared" si="1"/>
        <v>35-44</v>
      </c>
      <c r="C119" t="s">
        <v>21</v>
      </c>
      <c r="F119" t="s">
        <v>22</v>
      </c>
      <c r="G119">
        <v>1467</v>
      </c>
      <c r="H119" t="s">
        <v>18</v>
      </c>
      <c r="I119">
        <v>11</v>
      </c>
      <c r="J119">
        <v>2</v>
      </c>
      <c r="K119" t="s">
        <v>35</v>
      </c>
      <c r="L119">
        <v>1</v>
      </c>
      <c r="M119">
        <v>154</v>
      </c>
      <c r="O119">
        <v>2</v>
      </c>
      <c r="P119">
        <v>3</v>
      </c>
      <c r="Q119" t="s">
        <v>20</v>
      </c>
      <c r="R119">
        <v>4</v>
      </c>
      <c r="S119">
        <v>9738</v>
      </c>
      <c r="T119" t="s">
        <v>21</v>
      </c>
    </row>
    <row r="120" spans="1:20" x14ac:dyDescent="0.25">
      <c r="A120">
        <v>36</v>
      </c>
      <c r="B120" t="str">
        <f t="shared" si="1"/>
        <v>35-44</v>
      </c>
      <c r="C120" t="s">
        <v>21</v>
      </c>
      <c r="F120" t="s">
        <v>17</v>
      </c>
      <c r="G120">
        <v>922</v>
      </c>
      <c r="H120" t="s">
        <v>23</v>
      </c>
      <c r="I120">
        <v>3</v>
      </c>
      <c r="J120">
        <v>2</v>
      </c>
      <c r="K120" t="s">
        <v>19</v>
      </c>
      <c r="L120">
        <v>1</v>
      </c>
      <c r="M120">
        <v>155</v>
      </c>
      <c r="O120">
        <v>1</v>
      </c>
      <c r="P120">
        <v>1</v>
      </c>
      <c r="Q120" t="s">
        <v>26</v>
      </c>
      <c r="R120">
        <v>4</v>
      </c>
      <c r="S120">
        <v>2835</v>
      </c>
      <c r="T120" t="s">
        <v>21</v>
      </c>
    </row>
    <row r="121" spans="1:20" x14ac:dyDescent="0.25">
      <c r="A121">
        <v>43</v>
      </c>
      <c r="B121" t="str">
        <f t="shared" si="1"/>
        <v>35-44</v>
      </c>
      <c r="C121" t="s">
        <v>21</v>
      </c>
      <c r="F121" t="s">
        <v>22</v>
      </c>
      <c r="G121">
        <v>394</v>
      </c>
      <c r="H121" t="s">
        <v>18</v>
      </c>
      <c r="I121">
        <v>26</v>
      </c>
      <c r="J121">
        <v>2</v>
      </c>
      <c r="K121" t="s">
        <v>19</v>
      </c>
      <c r="L121">
        <v>1</v>
      </c>
      <c r="M121">
        <v>158</v>
      </c>
      <c r="O121">
        <v>3</v>
      </c>
      <c r="P121">
        <v>4</v>
      </c>
      <c r="Q121" t="s">
        <v>31</v>
      </c>
      <c r="R121">
        <v>4</v>
      </c>
      <c r="S121">
        <v>16959</v>
      </c>
      <c r="T121" t="s">
        <v>16</v>
      </c>
    </row>
    <row r="122" spans="1:20" x14ac:dyDescent="0.25">
      <c r="A122">
        <v>30</v>
      </c>
      <c r="B122" t="str">
        <f t="shared" si="1"/>
        <v>25-34</v>
      </c>
      <c r="C122" t="s">
        <v>21</v>
      </c>
      <c r="F122" t="s">
        <v>22</v>
      </c>
      <c r="G122">
        <v>1312</v>
      </c>
      <c r="H122" t="s">
        <v>23</v>
      </c>
      <c r="I122">
        <v>23</v>
      </c>
      <c r="J122">
        <v>3</v>
      </c>
      <c r="K122" t="s">
        <v>19</v>
      </c>
      <c r="L122">
        <v>1</v>
      </c>
      <c r="M122">
        <v>159</v>
      </c>
      <c r="O122">
        <v>1</v>
      </c>
      <c r="P122">
        <v>1</v>
      </c>
      <c r="Q122" t="s">
        <v>24</v>
      </c>
      <c r="R122">
        <v>3</v>
      </c>
      <c r="S122">
        <v>2613</v>
      </c>
      <c r="T122" t="s">
        <v>21</v>
      </c>
    </row>
    <row r="123" spans="1:20" x14ac:dyDescent="0.25">
      <c r="A123">
        <v>33</v>
      </c>
      <c r="B123" t="str">
        <f t="shared" si="1"/>
        <v>25-34</v>
      </c>
      <c r="C123" t="s">
        <v>21</v>
      </c>
      <c r="F123" t="s">
        <v>30</v>
      </c>
      <c r="G123">
        <v>750</v>
      </c>
      <c r="H123" t="s">
        <v>18</v>
      </c>
      <c r="I123">
        <v>22</v>
      </c>
      <c r="J123">
        <v>2</v>
      </c>
      <c r="K123" t="s">
        <v>34</v>
      </c>
      <c r="L123">
        <v>1</v>
      </c>
      <c r="M123">
        <v>160</v>
      </c>
      <c r="O123">
        <v>3</v>
      </c>
      <c r="P123">
        <v>2</v>
      </c>
      <c r="Q123" t="s">
        <v>20</v>
      </c>
      <c r="R123">
        <v>2</v>
      </c>
      <c r="S123">
        <v>6146</v>
      </c>
      <c r="T123" t="s">
        <v>21</v>
      </c>
    </row>
    <row r="124" spans="1:20" x14ac:dyDescent="0.25">
      <c r="A124">
        <v>56</v>
      </c>
      <c r="B124" t="str">
        <f t="shared" si="1"/>
        <v>55+</v>
      </c>
      <c r="C124" t="s">
        <v>16</v>
      </c>
      <c r="F124" t="s">
        <v>17</v>
      </c>
      <c r="G124">
        <v>441</v>
      </c>
      <c r="H124" t="s">
        <v>23</v>
      </c>
      <c r="I124">
        <v>14</v>
      </c>
      <c r="J124">
        <v>4</v>
      </c>
      <c r="K124" t="s">
        <v>19</v>
      </c>
      <c r="L124">
        <v>1</v>
      </c>
      <c r="M124">
        <v>161</v>
      </c>
      <c r="O124">
        <v>2</v>
      </c>
      <c r="P124">
        <v>1</v>
      </c>
      <c r="Q124" t="s">
        <v>24</v>
      </c>
      <c r="R124">
        <v>2</v>
      </c>
      <c r="S124">
        <v>4963</v>
      </c>
      <c r="T124" t="s">
        <v>16</v>
      </c>
    </row>
    <row r="125" spans="1:20" x14ac:dyDescent="0.25">
      <c r="A125">
        <v>51</v>
      </c>
      <c r="B125" t="str">
        <f t="shared" si="1"/>
        <v>45-54</v>
      </c>
      <c r="C125" t="s">
        <v>21</v>
      </c>
      <c r="F125" t="s">
        <v>17</v>
      </c>
      <c r="G125">
        <v>684</v>
      </c>
      <c r="H125" t="s">
        <v>23</v>
      </c>
      <c r="I125">
        <v>6</v>
      </c>
      <c r="J125">
        <v>3</v>
      </c>
      <c r="K125" t="s">
        <v>19</v>
      </c>
      <c r="L125">
        <v>1</v>
      </c>
      <c r="M125">
        <v>162</v>
      </c>
      <c r="O125">
        <v>1</v>
      </c>
      <c r="P125">
        <v>5</v>
      </c>
      <c r="Q125" t="s">
        <v>33</v>
      </c>
      <c r="R125">
        <v>3</v>
      </c>
      <c r="S125">
        <v>19537</v>
      </c>
      <c r="T125" t="s">
        <v>21</v>
      </c>
    </row>
    <row r="126" spans="1:20" x14ac:dyDescent="0.25">
      <c r="A126">
        <v>31</v>
      </c>
      <c r="B126" t="str">
        <f t="shared" si="1"/>
        <v>25-34</v>
      </c>
      <c r="C126" t="s">
        <v>16</v>
      </c>
      <c r="F126" t="s">
        <v>17</v>
      </c>
      <c r="G126">
        <v>249</v>
      </c>
      <c r="H126" t="s">
        <v>18</v>
      </c>
      <c r="I126">
        <v>6</v>
      </c>
      <c r="J126">
        <v>4</v>
      </c>
      <c r="K126" t="s">
        <v>19</v>
      </c>
      <c r="L126">
        <v>1</v>
      </c>
      <c r="M126">
        <v>163</v>
      </c>
      <c r="O126">
        <v>2</v>
      </c>
      <c r="P126">
        <v>2</v>
      </c>
      <c r="Q126" t="s">
        <v>20</v>
      </c>
      <c r="R126">
        <v>3</v>
      </c>
      <c r="S126">
        <v>6172</v>
      </c>
      <c r="T126" t="s">
        <v>16</v>
      </c>
    </row>
    <row r="127" spans="1:20" x14ac:dyDescent="0.25">
      <c r="A127">
        <v>26</v>
      </c>
      <c r="B127" t="str">
        <f t="shared" si="1"/>
        <v>25-34</v>
      </c>
      <c r="C127" t="s">
        <v>21</v>
      </c>
      <c r="F127" t="s">
        <v>17</v>
      </c>
      <c r="G127">
        <v>841</v>
      </c>
      <c r="H127" t="s">
        <v>23</v>
      </c>
      <c r="I127">
        <v>6</v>
      </c>
      <c r="J127">
        <v>3</v>
      </c>
      <c r="K127" t="s">
        <v>25</v>
      </c>
      <c r="L127">
        <v>1</v>
      </c>
      <c r="M127">
        <v>164</v>
      </c>
      <c r="O127">
        <v>3</v>
      </c>
      <c r="P127">
        <v>1</v>
      </c>
      <c r="Q127" t="s">
        <v>24</v>
      </c>
      <c r="R127">
        <v>2</v>
      </c>
      <c r="S127">
        <v>2368</v>
      </c>
      <c r="T127" t="s">
        <v>21</v>
      </c>
    </row>
    <row r="128" spans="1:20" x14ac:dyDescent="0.25">
      <c r="A128">
        <v>58</v>
      </c>
      <c r="B128" t="str">
        <f t="shared" si="1"/>
        <v>55+</v>
      </c>
      <c r="C128" t="s">
        <v>16</v>
      </c>
      <c r="F128" t="s">
        <v>17</v>
      </c>
      <c r="G128">
        <v>147</v>
      </c>
      <c r="H128" t="s">
        <v>23</v>
      </c>
      <c r="I128">
        <v>23</v>
      </c>
      <c r="J128">
        <v>4</v>
      </c>
      <c r="K128" t="s">
        <v>27</v>
      </c>
      <c r="L128">
        <v>1</v>
      </c>
      <c r="M128">
        <v>165</v>
      </c>
      <c r="O128">
        <v>4</v>
      </c>
      <c r="P128">
        <v>3</v>
      </c>
      <c r="Q128" t="s">
        <v>29</v>
      </c>
      <c r="R128">
        <v>4</v>
      </c>
      <c r="S128">
        <v>10312</v>
      </c>
      <c r="T128" t="s">
        <v>21</v>
      </c>
    </row>
    <row r="129" spans="1:20" x14ac:dyDescent="0.25">
      <c r="A129">
        <v>19</v>
      </c>
      <c r="B129" t="str">
        <f t="shared" si="1"/>
        <v>18-24</v>
      </c>
      <c r="C129" t="s">
        <v>16</v>
      </c>
      <c r="F129" t="s">
        <v>17</v>
      </c>
      <c r="G129">
        <v>528</v>
      </c>
      <c r="H129" t="s">
        <v>18</v>
      </c>
      <c r="I129">
        <v>22</v>
      </c>
      <c r="J129">
        <v>1</v>
      </c>
      <c r="K129" t="s">
        <v>34</v>
      </c>
      <c r="L129">
        <v>1</v>
      </c>
      <c r="M129">
        <v>167</v>
      </c>
      <c r="O129">
        <v>4</v>
      </c>
      <c r="P129">
        <v>1</v>
      </c>
      <c r="Q129" t="s">
        <v>32</v>
      </c>
      <c r="R129">
        <v>3</v>
      </c>
      <c r="S129">
        <v>1675</v>
      </c>
      <c r="T129" t="s">
        <v>16</v>
      </c>
    </row>
    <row r="130" spans="1:20" x14ac:dyDescent="0.25">
      <c r="A130">
        <v>22</v>
      </c>
      <c r="B130" t="str">
        <f t="shared" si="1"/>
        <v>18-24</v>
      </c>
      <c r="C130" t="s">
        <v>21</v>
      </c>
      <c r="F130" t="s">
        <v>17</v>
      </c>
      <c r="G130">
        <v>594</v>
      </c>
      <c r="H130" t="s">
        <v>23</v>
      </c>
      <c r="I130">
        <v>2</v>
      </c>
      <c r="J130">
        <v>1</v>
      </c>
      <c r="K130" t="s">
        <v>35</v>
      </c>
      <c r="L130">
        <v>1</v>
      </c>
      <c r="M130">
        <v>169</v>
      </c>
      <c r="O130">
        <v>3</v>
      </c>
      <c r="P130">
        <v>1</v>
      </c>
      <c r="Q130" t="s">
        <v>26</v>
      </c>
      <c r="R130">
        <v>4</v>
      </c>
      <c r="S130">
        <v>2523</v>
      </c>
      <c r="T130" t="s">
        <v>21</v>
      </c>
    </row>
    <row r="131" spans="1:20" x14ac:dyDescent="0.25">
      <c r="A131">
        <v>49</v>
      </c>
      <c r="B131" t="str">
        <f t="shared" ref="B131:B194" si="2">IF(A131&lt;=24,"18-24",IF(A131&lt;=34,"25-34",IF(A131&lt;=44,"35-44",IF(A131&lt;=54,"45-54","55+"))))</f>
        <v>45-54</v>
      </c>
      <c r="C131" t="s">
        <v>21</v>
      </c>
      <c r="F131" t="s">
        <v>17</v>
      </c>
      <c r="G131">
        <v>470</v>
      </c>
      <c r="H131" t="s">
        <v>23</v>
      </c>
      <c r="I131">
        <v>20</v>
      </c>
      <c r="J131">
        <v>4</v>
      </c>
      <c r="K131" t="s">
        <v>27</v>
      </c>
      <c r="L131">
        <v>1</v>
      </c>
      <c r="M131">
        <v>170</v>
      </c>
      <c r="O131">
        <v>3</v>
      </c>
      <c r="P131">
        <v>2</v>
      </c>
      <c r="Q131" t="s">
        <v>28</v>
      </c>
      <c r="R131">
        <v>1</v>
      </c>
      <c r="S131">
        <v>6567</v>
      </c>
      <c r="T131" t="s">
        <v>21</v>
      </c>
    </row>
    <row r="132" spans="1:20" x14ac:dyDescent="0.25">
      <c r="A132">
        <v>43</v>
      </c>
      <c r="B132" t="str">
        <f t="shared" si="2"/>
        <v>35-44</v>
      </c>
      <c r="C132" t="s">
        <v>21</v>
      </c>
      <c r="F132" t="s">
        <v>22</v>
      </c>
      <c r="G132">
        <v>957</v>
      </c>
      <c r="H132" t="s">
        <v>23</v>
      </c>
      <c r="I132">
        <v>28</v>
      </c>
      <c r="J132">
        <v>3</v>
      </c>
      <c r="K132" t="s">
        <v>27</v>
      </c>
      <c r="L132">
        <v>1</v>
      </c>
      <c r="M132">
        <v>171</v>
      </c>
      <c r="O132">
        <v>2</v>
      </c>
      <c r="P132">
        <v>1</v>
      </c>
      <c r="Q132" t="s">
        <v>24</v>
      </c>
      <c r="R132">
        <v>3</v>
      </c>
      <c r="S132">
        <v>4739</v>
      </c>
      <c r="T132" t="s">
        <v>21</v>
      </c>
    </row>
    <row r="133" spans="1:20" x14ac:dyDescent="0.25">
      <c r="A133">
        <v>50</v>
      </c>
      <c r="B133" t="str">
        <f t="shared" si="2"/>
        <v>45-54</v>
      </c>
      <c r="C133" t="s">
        <v>21</v>
      </c>
      <c r="F133" t="s">
        <v>22</v>
      </c>
      <c r="G133">
        <v>809</v>
      </c>
      <c r="H133" t="s">
        <v>18</v>
      </c>
      <c r="I133">
        <v>12</v>
      </c>
      <c r="J133">
        <v>3</v>
      </c>
      <c r="K133" t="s">
        <v>34</v>
      </c>
      <c r="L133">
        <v>1</v>
      </c>
      <c r="M133">
        <v>174</v>
      </c>
      <c r="O133">
        <v>3</v>
      </c>
      <c r="P133">
        <v>3</v>
      </c>
      <c r="Q133" t="s">
        <v>20</v>
      </c>
      <c r="R133">
        <v>4</v>
      </c>
      <c r="S133">
        <v>9208</v>
      </c>
      <c r="T133" t="s">
        <v>21</v>
      </c>
    </row>
    <row r="134" spans="1:20" x14ac:dyDescent="0.25">
      <c r="A134">
        <v>31</v>
      </c>
      <c r="B134" t="str">
        <f t="shared" si="2"/>
        <v>25-34</v>
      </c>
      <c r="C134" t="s">
        <v>16</v>
      </c>
      <c r="F134" t="s">
        <v>17</v>
      </c>
      <c r="G134">
        <v>542</v>
      </c>
      <c r="H134" t="s">
        <v>18</v>
      </c>
      <c r="I134">
        <v>20</v>
      </c>
      <c r="J134">
        <v>3</v>
      </c>
      <c r="K134" t="s">
        <v>19</v>
      </c>
      <c r="L134">
        <v>1</v>
      </c>
      <c r="M134">
        <v>175</v>
      </c>
      <c r="O134">
        <v>2</v>
      </c>
      <c r="P134">
        <v>2</v>
      </c>
      <c r="Q134" t="s">
        <v>20</v>
      </c>
      <c r="R134">
        <v>3</v>
      </c>
      <c r="S134">
        <v>4559</v>
      </c>
      <c r="T134" t="s">
        <v>16</v>
      </c>
    </row>
    <row r="135" spans="1:20" x14ac:dyDescent="0.25">
      <c r="A135">
        <v>41</v>
      </c>
      <c r="B135" t="str">
        <f t="shared" si="2"/>
        <v>35-44</v>
      </c>
      <c r="C135" t="s">
        <v>21</v>
      </c>
      <c r="F135" t="s">
        <v>17</v>
      </c>
      <c r="G135">
        <v>802</v>
      </c>
      <c r="H135" t="s">
        <v>18</v>
      </c>
      <c r="I135">
        <v>9</v>
      </c>
      <c r="J135">
        <v>1</v>
      </c>
      <c r="K135" t="s">
        <v>19</v>
      </c>
      <c r="L135">
        <v>1</v>
      </c>
      <c r="M135">
        <v>176</v>
      </c>
      <c r="O135">
        <v>3</v>
      </c>
      <c r="P135">
        <v>3</v>
      </c>
      <c r="Q135" t="s">
        <v>20</v>
      </c>
      <c r="R135">
        <v>3</v>
      </c>
      <c r="S135">
        <v>8189</v>
      </c>
      <c r="T135" t="s">
        <v>16</v>
      </c>
    </row>
    <row r="136" spans="1:20" x14ac:dyDescent="0.25">
      <c r="A136">
        <v>26</v>
      </c>
      <c r="B136" t="str">
        <f t="shared" si="2"/>
        <v>25-34</v>
      </c>
      <c r="C136" t="s">
        <v>21</v>
      </c>
      <c r="F136" t="s">
        <v>17</v>
      </c>
      <c r="G136">
        <v>1355</v>
      </c>
      <c r="H136" t="s">
        <v>36</v>
      </c>
      <c r="I136">
        <v>25</v>
      </c>
      <c r="J136">
        <v>1</v>
      </c>
      <c r="K136" t="s">
        <v>19</v>
      </c>
      <c r="L136">
        <v>1</v>
      </c>
      <c r="M136">
        <v>177</v>
      </c>
      <c r="O136">
        <v>3</v>
      </c>
      <c r="P136">
        <v>1</v>
      </c>
      <c r="Q136" t="s">
        <v>36</v>
      </c>
      <c r="R136">
        <v>3</v>
      </c>
      <c r="S136">
        <v>2942</v>
      </c>
      <c r="T136" t="s">
        <v>21</v>
      </c>
    </row>
    <row r="137" spans="1:20" x14ac:dyDescent="0.25">
      <c r="A137">
        <v>36</v>
      </c>
      <c r="B137" t="str">
        <f t="shared" si="2"/>
        <v>35-44</v>
      </c>
      <c r="C137" t="s">
        <v>21</v>
      </c>
      <c r="F137" t="s">
        <v>17</v>
      </c>
      <c r="G137">
        <v>216</v>
      </c>
      <c r="H137" t="s">
        <v>23</v>
      </c>
      <c r="I137">
        <v>6</v>
      </c>
      <c r="J137">
        <v>2</v>
      </c>
      <c r="K137" t="s">
        <v>27</v>
      </c>
      <c r="L137">
        <v>1</v>
      </c>
      <c r="M137">
        <v>178</v>
      </c>
      <c r="O137">
        <v>2</v>
      </c>
      <c r="P137">
        <v>2</v>
      </c>
      <c r="Q137" t="s">
        <v>28</v>
      </c>
      <c r="R137">
        <v>2</v>
      </c>
      <c r="S137">
        <v>4941</v>
      </c>
      <c r="T137" t="s">
        <v>21</v>
      </c>
    </row>
    <row r="138" spans="1:20" x14ac:dyDescent="0.25">
      <c r="A138">
        <v>51</v>
      </c>
      <c r="B138" t="str">
        <f t="shared" si="2"/>
        <v>45-54</v>
      </c>
      <c r="C138" t="s">
        <v>16</v>
      </c>
      <c r="F138" t="s">
        <v>22</v>
      </c>
      <c r="G138">
        <v>1150</v>
      </c>
      <c r="H138" t="s">
        <v>23</v>
      </c>
      <c r="I138">
        <v>8</v>
      </c>
      <c r="J138">
        <v>4</v>
      </c>
      <c r="K138" t="s">
        <v>19</v>
      </c>
      <c r="L138">
        <v>1</v>
      </c>
      <c r="M138">
        <v>179</v>
      </c>
      <c r="O138">
        <v>1</v>
      </c>
      <c r="P138">
        <v>3</v>
      </c>
      <c r="Q138" t="s">
        <v>28</v>
      </c>
      <c r="R138">
        <v>4</v>
      </c>
      <c r="S138">
        <v>10650</v>
      </c>
      <c r="T138" t="s">
        <v>21</v>
      </c>
    </row>
    <row r="139" spans="1:20" x14ac:dyDescent="0.25">
      <c r="A139">
        <v>39</v>
      </c>
      <c r="B139" t="str">
        <f t="shared" si="2"/>
        <v>35-44</v>
      </c>
      <c r="C139" t="s">
        <v>21</v>
      </c>
      <c r="F139" t="s">
        <v>17</v>
      </c>
      <c r="G139">
        <v>1329</v>
      </c>
      <c r="H139" t="s">
        <v>18</v>
      </c>
      <c r="I139">
        <v>4</v>
      </c>
      <c r="J139">
        <v>4</v>
      </c>
      <c r="K139" t="s">
        <v>19</v>
      </c>
      <c r="L139">
        <v>1</v>
      </c>
      <c r="M139">
        <v>182</v>
      </c>
      <c r="O139">
        <v>4</v>
      </c>
      <c r="P139">
        <v>2</v>
      </c>
      <c r="Q139" t="s">
        <v>20</v>
      </c>
      <c r="R139">
        <v>3</v>
      </c>
      <c r="S139">
        <v>5902</v>
      </c>
      <c r="T139" t="s">
        <v>21</v>
      </c>
    </row>
    <row r="140" spans="1:20" x14ac:dyDescent="0.25">
      <c r="A140">
        <v>25</v>
      </c>
      <c r="B140" t="str">
        <f t="shared" si="2"/>
        <v>25-34</v>
      </c>
      <c r="C140" t="s">
        <v>21</v>
      </c>
      <c r="F140" t="s">
        <v>17</v>
      </c>
      <c r="G140">
        <v>959</v>
      </c>
      <c r="H140" t="s">
        <v>18</v>
      </c>
      <c r="I140">
        <v>28</v>
      </c>
      <c r="J140">
        <v>3</v>
      </c>
      <c r="K140" t="s">
        <v>19</v>
      </c>
      <c r="L140">
        <v>1</v>
      </c>
      <c r="M140">
        <v>183</v>
      </c>
      <c r="O140">
        <v>1</v>
      </c>
      <c r="P140">
        <v>2</v>
      </c>
      <c r="Q140" t="s">
        <v>20</v>
      </c>
      <c r="R140">
        <v>3</v>
      </c>
      <c r="S140">
        <v>8639</v>
      </c>
      <c r="T140" t="s">
        <v>21</v>
      </c>
    </row>
    <row r="141" spans="1:20" x14ac:dyDescent="0.25">
      <c r="A141">
        <v>30</v>
      </c>
      <c r="B141" t="str">
        <f t="shared" si="2"/>
        <v>25-34</v>
      </c>
      <c r="C141" t="s">
        <v>21</v>
      </c>
      <c r="F141" t="s">
        <v>17</v>
      </c>
      <c r="G141">
        <v>1240</v>
      </c>
      <c r="H141" t="s">
        <v>36</v>
      </c>
      <c r="I141">
        <v>9</v>
      </c>
      <c r="J141">
        <v>3</v>
      </c>
      <c r="K141" t="s">
        <v>36</v>
      </c>
      <c r="L141">
        <v>1</v>
      </c>
      <c r="M141">
        <v>184</v>
      </c>
      <c r="O141">
        <v>3</v>
      </c>
      <c r="P141">
        <v>2</v>
      </c>
      <c r="Q141" t="s">
        <v>36</v>
      </c>
      <c r="R141">
        <v>4</v>
      </c>
      <c r="S141">
        <v>6347</v>
      </c>
      <c r="T141" t="s">
        <v>16</v>
      </c>
    </row>
    <row r="142" spans="1:20" x14ac:dyDescent="0.25">
      <c r="A142">
        <v>32</v>
      </c>
      <c r="B142" t="str">
        <f t="shared" si="2"/>
        <v>25-34</v>
      </c>
      <c r="C142" t="s">
        <v>16</v>
      </c>
      <c r="F142" t="s">
        <v>17</v>
      </c>
      <c r="G142">
        <v>1033</v>
      </c>
      <c r="H142" t="s">
        <v>23</v>
      </c>
      <c r="I142">
        <v>9</v>
      </c>
      <c r="J142">
        <v>3</v>
      </c>
      <c r="K142" t="s">
        <v>27</v>
      </c>
      <c r="L142">
        <v>1</v>
      </c>
      <c r="M142">
        <v>190</v>
      </c>
      <c r="O142">
        <v>1</v>
      </c>
      <c r="P142">
        <v>1</v>
      </c>
      <c r="Q142" t="s">
        <v>26</v>
      </c>
      <c r="R142">
        <v>1</v>
      </c>
      <c r="S142">
        <v>4200</v>
      </c>
      <c r="T142" t="s">
        <v>21</v>
      </c>
    </row>
    <row r="143" spans="1:20" x14ac:dyDescent="0.25">
      <c r="A143">
        <v>45</v>
      </c>
      <c r="B143" t="str">
        <f t="shared" si="2"/>
        <v>45-54</v>
      </c>
      <c r="C143" t="s">
        <v>21</v>
      </c>
      <c r="F143" t="s">
        <v>17</v>
      </c>
      <c r="G143">
        <v>1316</v>
      </c>
      <c r="H143" t="s">
        <v>23</v>
      </c>
      <c r="I143">
        <v>29</v>
      </c>
      <c r="J143">
        <v>3</v>
      </c>
      <c r="K143" t="s">
        <v>27</v>
      </c>
      <c r="L143">
        <v>1</v>
      </c>
      <c r="M143">
        <v>192</v>
      </c>
      <c r="O143">
        <v>3</v>
      </c>
      <c r="P143">
        <v>1</v>
      </c>
      <c r="Q143" t="s">
        <v>24</v>
      </c>
      <c r="R143">
        <v>4</v>
      </c>
      <c r="S143">
        <v>3452</v>
      </c>
      <c r="T143" t="s">
        <v>21</v>
      </c>
    </row>
    <row r="144" spans="1:20" x14ac:dyDescent="0.25">
      <c r="A144">
        <v>38</v>
      </c>
      <c r="B144" t="str">
        <f t="shared" si="2"/>
        <v>35-44</v>
      </c>
      <c r="C144" t="s">
        <v>21</v>
      </c>
      <c r="F144" t="s">
        <v>17</v>
      </c>
      <c r="G144">
        <v>364</v>
      </c>
      <c r="H144" t="s">
        <v>23</v>
      </c>
      <c r="I144">
        <v>3</v>
      </c>
      <c r="J144">
        <v>5</v>
      </c>
      <c r="K144" t="s">
        <v>35</v>
      </c>
      <c r="L144">
        <v>1</v>
      </c>
      <c r="M144">
        <v>193</v>
      </c>
      <c r="O144">
        <v>4</v>
      </c>
      <c r="P144">
        <v>2</v>
      </c>
      <c r="Q144" t="s">
        <v>24</v>
      </c>
      <c r="R144">
        <v>3</v>
      </c>
      <c r="S144">
        <v>4317</v>
      </c>
      <c r="T144" t="s">
        <v>16</v>
      </c>
    </row>
    <row r="145" spans="1:20" x14ac:dyDescent="0.25">
      <c r="A145">
        <v>30</v>
      </c>
      <c r="B145" t="str">
        <f t="shared" si="2"/>
        <v>25-34</v>
      </c>
      <c r="C145" t="s">
        <v>21</v>
      </c>
      <c r="F145" t="s">
        <v>17</v>
      </c>
      <c r="G145">
        <v>438</v>
      </c>
      <c r="H145" t="s">
        <v>23</v>
      </c>
      <c r="I145">
        <v>18</v>
      </c>
      <c r="J145">
        <v>3</v>
      </c>
      <c r="K145" t="s">
        <v>19</v>
      </c>
      <c r="L145">
        <v>1</v>
      </c>
      <c r="M145">
        <v>194</v>
      </c>
      <c r="O145">
        <v>1</v>
      </c>
      <c r="P145">
        <v>1</v>
      </c>
      <c r="Q145" t="s">
        <v>24</v>
      </c>
      <c r="R145">
        <v>3</v>
      </c>
      <c r="S145">
        <v>2632</v>
      </c>
      <c r="T145" t="s">
        <v>21</v>
      </c>
    </row>
    <row r="146" spans="1:20" x14ac:dyDescent="0.25">
      <c r="A146">
        <v>32</v>
      </c>
      <c r="B146" t="str">
        <f t="shared" si="2"/>
        <v>25-34</v>
      </c>
      <c r="C146" t="s">
        <v>21</v>
      </c>
      <c r="F146" t="s">
        <v>22</v>
      </c>
      <c r="G146">
        <v>689</v>
      </c>
      <c r="H146" t="s">
        <v>18</v>
      </c>
      <c r="I146">
        <v>9</v>
      </c>
      <c r="J146">
        <v>2</v>
      </c>
      <c r="K146" t="s">
        <v>27</v>
      </c>
      <c r="L146">
        <v>1</v>
      </c>
      <c r="M146">
        <v>195</v>
      </c>
      <c r="O146">
        <v>4</v>
      </c>
      <c r="P146">
        <v>2</v>
      </c>
      <c r="Q146" t="s">
        <v>20</v>
      </c>
      <c r="R146">
        <v>4</v>
      </c>
      <c r="S146">
        <v>4668</v>
      </c>
      <c r="T146" t="s">
        <v>21</v>
      </c>
    </row>
    <row r="147" spans="1:20" x14ac:dyDescent="0.25">
      <c r="A147">
        <v>30</v>
      </c>
      <c r="B147" t="str">
        <f t="shared" si="2"/>
        <v>25-34</v>
      </c>
      <c r="C147" t="s">
        <v>21</v>
      </c>
      <c r="F147" t="s">
        <v>17</v>
      </c>
      <c r="G147">
        <v>201</v>
      </c>
      <c r="H147" t="s">
        <v>23</v>
      </c>
      <c r="I147">
        <v>5</v>
      </c>
      <c r="J147">
        <v>3</v>
      </c>
      <c r="K147" t="s">
        <v>35</v>
      </c>
      <c r="L147">
        <v>1</v>
      </c>
      <c r="M147">
        <v>197</v>
      </c>
      <c r="O147">
        <v>4</v>
      </c>
      <c r="P147">
        <v>1</v>
      </c>
      <c r="Q147" t="s">
        <v>24</v>
      </c>
      <c r="R147">
        <v>1</v>
      </c>
      <c r="S147">
        <v>3204</v>
      </c>
      <c r="T147" t="s">
        <v>21</v>
      </c>
    </row>
    <row r="148" spans="1:20" x14ac:dyDescent="0.25">
      <c r="A148">
        <v>30</v>
      </c>
      <c r="B148" t="str">
        <f t="shared" si="2"/>
        <v>25-34</v>
      </c>
      <c r="C148" t="s">
        <v>21</v>
      </c>
      <c r="F148" t="s">
        <v>17</v>
      </c>
      <c r="G148">
        <v>1427</v>
      </c>
      <c r="H148" t="s">
        <v>23</v>
      </c>
      <c r="I148">
        <v>2</v>
      </c>
      <c r="J148">
        <v>1</v>
      </c>
      <c r="K148" t="s">
        <v>27</v>
      </c>
      <c r="L148">
        <v>1</v>
      </c>
      <c r="M148">
        <v>198</v>
      </c>
      <c r="O148">
        <v>2</v>
      </c>
      <c r="P148">
        <v>1</v>
      </c>
      <c r="Q148" t="s">
        <v>26</v>
      </c>
      <c r="R148">
        <v>4</v>
      </c>
      <c r="S148">
        <v>2720</v>
      </c>
      <c r="T148" t="s">
        <v>21</v>
      </c>
    </row>
    <row r="149" spans="1:20" x14ac:dyDescent="0.25">
      <c r="A149">
        <v>41</v>
      </c>
      <c r="B149" t="str">
        <f t="shared" si="2"/>
        <v>35-44</v>
      </c>
      <c r="C149" t="s">
        <v>21</v>
      </c>
      <c r="F149" t="s">
        <v>22</v>
      </c>
      <c r="G149">
        <v>857</v>
      </c>
      <c r="H149" t="s">
        <v>23</v>
      </c>
      <c r="I149">
        <v>10</v>
      </c>
      <c r="J149">
        <v>3</v>
      </c>
      <c r="K149" t="s">
        <v>19</v>
      </c>
      <c r="L149">
        <v>1</v>
      </c>
      <c r="M149">
        <v>199</v>
      </c>
      <c r="O149">
        <v>4</v>
      </c>
      <c r="P149">
        <v>4</v>
      </c>
      <c r="Q149" t="s">
        <v>31</v>
      </c>
      <c r="R149">
        <v>1</v>
      </c>
      <c r="S149">
        <v>17181</v>
      </c>
      <c r="T149" t="s">
        <v>21</v>
      </c>
    </row>
    <row r="150" spans="1:20" x14ac:dyDescent="0.25">
      <c r="A150">
        <v>41</v>
      </c>
      <c r="B150" t="str">
        <f t="shared" si="2"/>
        <v>35-44</v>
      </c>
      <c r="C150" t="s">
        <v>21</v>
      </c>
      <c r="F150" t="s">
        <v>17</v>
      </c>
      <c r="G150">
        <v>933</v>
      </c>
      <c r="H150" t="s">
        <v>23</v>
      </c>
      <c r="I150">
        <v>9</v>
      </c>
      <c r="J150">
        <v>4</v>
      </c>
      <c r="K150" t="s">
        <v>19</v>
      </c>
      <c r="L150">
        <v>1</v>
      </c>
      <c r="M150">
        <v>200</v>
      </c>
      <c r="O150">
        <v>3</v>
      </c>
      <c r="P150">
        <v>1</v>
      </c>
      <c r="Q150" t="s">
        <v>26</v>
      </c>
      <c r="R150">
        <v>1</v>
      </c>
      <c r="S150">
        <v>2238</v>
      </c>
      <c r="T150" t="s">
        <v>21</v>
      </c>
    </row>
    <row r="151" spans="1:20" x14ac:dyDescent="0.25">
      <c r="A151">
        <v>19</v>
      </c>
      <c r="B151" t="str">
        <f t="shared" si="2"/>
        <v>18-24</v>
      </c>
      <c r="C151" t="s">
        <v>21</v>
      </c>
      <c r="F151" t="s">
        <v>17</v>
      </c>
      <c r="G151">
        <v>1181</v>
      </c>
      <c r="H151" t="s">
        <v>23</v>
      </c>
      <c r="I151">
        <v>3</v>
      </c>
      <c r="J151">
        <v>1</v>
      </c>
      <c r="K151" t="s">
        <v>27</v>
      </c>
      <c r="L151">
        <v>1</v>
      </c>
      <c r="M151">
        <v>201</v>
      </c>
      <c r="O151">
        <v>2</v>
      </c>
      <c r="P151">
        <v>1</v>
      </c>
      <c r="Q151" t="s">
        <v>26</v>
      </c>
      <c r="R151">
        <v>2</v>
      </c>
      <c r="S151">
        <v>1483</v>
      </c>
      <c r="T151" t="s">
        <v>21</v>
      </c>
    </row>
    <row r="152" spans="1:20" x14ac:dyDescent="0.25">
      <c r="A152">
        <v>40</v>
      </c>
      <c r="B152" t="str">
        <f t="shared" si="2"/>
        <v>35-44</v>
      </c>
      <c r="C152" t="s">
        <v>21</v>
      </c>
      <c r="F152" t="s">
        <v>22</v>
      </c>
      <c r="G152">
        <v>1395</v>
      </c>
      <c r="H152" t="s">
        <v>23</v>
      </c>
      <c r="I152">
        <v>26</v>
      </c>
      <c r="J152">
        <v>3</v>
      </c>
      <c r="K152" t="s">
        <v>27</v>
      </c>
      <c r="L152">
        <v>1</v>
      </c>
      <c r="M152">
        <v>202</v>
      </c>
      <c r="O152">
        <v>2</v>
      </c>
      <c r="P152">
        <v>2</v>
      </c>
      <c r="Q152" t="s">
        <v>24</v>
      </c>
      <c r="R152">
        <v>2</v>
      </c>
      <c r="S152">
        <v>5605</v>
      </c>
      <c r="T152" t="s">
        <v>21</v>
      </c>
    </row>
    <row r="153" spans="1:20" x14ac:dyDescent="0.25">
      <c r="A153">
        <v>35</v>
      </c>
      <c r="B153" t="str">
        <f t="shared" si="2"/>
        <v>35-44</v>
      </c>
      <c r="C153" t="s">
        <v>21</v>
      </c>
      <c r="F153" t="s">
        <v>17</v>
      </c>
      <c r="G153">
        <v>662</v>
      </c>
      <c r="H153" t="s">
        <v>18</v>
      </c>
      <c r="I153">
        <v>1</v>
      </c>
      <c r="J153">
        <v>5</v>
      </c>
      <c r="K153" t="s">
        <v>34</v>
      </c>
      <c r="L153">
        <v>1</v>
      </c>
      <c r="M153">
        <v>204</v>
      </c>
      <c r="O153">
        <v>3</v>
      </c>
      <c r="P153">
        <v>3</v>
      </c>
      <c r="Q153" t="s">
        <v>20</v>
      </c>
      <c r="R153">
        <v>2</v>
      </c>
      <c r="S153">
        <v>7295</v>
      </c>
      <c r="T153" t="s">
        <v>21</v>
      </c>
    </row>
    <row r="154" spans="1:20" x14ac:dyDescent="0.25">
      <c r="A154">
        <v>53</v>
      </c>
      <c r="B154" t="str">
        <f t="shared" si="2"/>
        <v>45-54</v>
      </c>
      <c r="C154" t="s">
        <v>21</v>
      </c>
      <c r="F154" t="s">
        <v>17</v>
      </c>
      <c r="G154">
        <v>1436</v>
      </c>
      <c r="H154" t="s">
        <v>18</v>
      </c>
      <c r="I154">
        <v>6</v>
      </c>
      <c r="J154">
        <v>2</v>
      </c>
      <c r="K154" t="s">
        <v>34</v>
      </c>
      <c r="L154">
        <v>1</v>
      </c>
      <c r="M154">
        <v>205</v>
      </c>
      <c r="O154">
        <v>2</v>
      </c>
      <c r="P154">
        <v>2</v>
      </c>
      <c r="Q154" t="s">
        <v>32</v>
      </c>
      <c r="R154">
        <v>3</v>
      </c>
      <c r="S154">
        <v>2306</v>
      </c>
      <c r="T154" t="s">
        <v>16</v>
      </c>
    </row>
    <row r="155" spans="1:20" x14ac:dyDescent="0.25">
      <c r="A155">
        <v>45</v>
      </c>
      <c r="B155" t="str">
        <f t="shared" si="2"/>
        <v>45-54</v>
      </c>
      <c r="C155" t="s">
        <v>21</v>
      </c>
      <c r="F155" t="s">
        <v>17</v>
      </c>
      <c r="G155">
        <v>194</v>
      </c>
      <c r="H155" t="s">
        <v>23</v>
      </c>
      <c r="I155">
        <v>9</v>
      </c>
      <c r="J155">
        <v>3</v>
      </c>
      <c r="K155" t="s">
        <v>19</v>
      </c>
      <c r="L155">
        <v>1</v>
      </c>
      <c r="M155">
        <v>206</v>
      </c>
      <c r="O155">
        <v>2</v>
      </c>
      <c r="P155">
        <v>2</v>
      </c>
      <c r="Q155" t="s">
        <v>26</v>
      </c>
      <c r="R155">
        <v>2</v>
      </c>
      <c r="S155">
        <v>2348</v>
      </c>
      <c r="T155" t="s">
        <v>21</v>
      </c>
    </row>
    <row r="156" spans="1:20" x14ac:dyDescent="0.25">
      <c r="A156">
        <v>32</v>
      </c>
      <c r="B156" t="str">
        <f t="shared" si="2"/>
        <v>25-34</v>
      </c>
      <c r="C156" t="s">
        <v>21</v>
      </c>
      <c r="F156" t="s">
        <v>22</v>
      </c>
      <c r="G156">
        <v>967</v>
      </c>
      <c r="H156" t="s">
        <v>18</v>
      </c>
      <c r="I156">
        <v>8</v>
      </c>
      <c r="J156">
        <v>3</v>
      </c>
      <c r="K156" t="s">
        <v>34</v>
      </c>
      <c r="L156">
        <v>1</v>
      </c>
      <c r="M156">
        <v>207</v>
      </c>
      <c r="O156">
        <v>2</v>
      </c>
      <c r="P156">
        <v>3</v>
      </c>
      <c r="Q156" t="s">
        <v>20</v>
      </c>
      <c r="R156">
        <v>4</v>
      </c>
      <c r="S156">
        <v>8998</v>
      </c>
      <c r="T156" t="s">
        <v>21</v>
      </c>
    </row>
    <row r="157" spans="1:20" x14ac:dyDescent="0.25">
      <c r="A157">
        <v>29</v>
      </c>
      <c r="B157" t="str">
        <f t="shared" si="2"/>
        <v>25-34</v>
      </c>
      <c r="C157" t="s">
        <v>21</v>
      </c>
      <c r="F157" t="s">
        <v>30</v>
      </c>
      <c r="G157">
        <v>1496</v>
      </c>
      <c r="H157" t="s">
        <v>23</v>
      </c>
      <c r="I157">
        <v>1</v>
      </c>
      <c r="J157">
        <v>1</v>
      </c>
      <c r="K157" t="s">
        <v>35</v>
      </c>
      <c r="L157">
        <v>1</v>
      </c>
      <c r="M157">
        <v>208</v>
      </c>
      <c r="O157">
        <v>4</v>
      </c>
      <c r="P157">
        <v>2</v>
      </c>
      <c r="Q157" t="s">
        <v>28</v>
      </c>
      <c r="R157">
        <v>3</v>
      </c>
      <c r="S157">
        <v>4319</v>
      </c>
      <c r="T157" t="s">
        <v>21</v>
      </c>
    </row>
    <row r="158" spans="1:20" x14ac:dyDescent="0.25">
      <c r="A158">
        <v>51</v>
      </c>
      <c r="B158" t="str">
        <f t="shared" si="2"/>
        <v>45-54</v>
      </c>
      <c r="C158" t="s">
        <v>21</v>
      </c>
      <c r="F158" t="s">
        <v>17</v>
      </c>
      <c r="G158">
        <v>1169</v>
      </c>
      <c r="H158" t="s">
        <v>23</v>
      </c>
      <c r="I158">
        <v>7</v>
      </c>
      <c r="J158">
        <v>4</v>
      </c>
      <c r="K158" t="s">
        <v>27</v>
      </c>
      <c r="L158">
        <v>1</v>
      </c>
      <c r="M158">
        <v>211</v>
      </c>
      <c r="O158">
        <v>2</v>
      </c>
      <c r="P158">
        <v>2</v>
      </c>
      <c r="Q158" t="s">
        <v>28</v>
      </c>
      <c r="R158">
        <v>3</v>
      </c>
      <c r="S158">
        <v>6132</v>
      </c>
      <c r="T158" t="s">
        <v>21</v>
      </c>
    </row>
    <row r="159" spans="1:20" x14ac:dyDescent="0.25">
      <c r="A159">
        <v>58</v>
      </c>
      <c r="B159" t="str">
        <f t="shared" si="2"/>
        <v>55+</v>
      </c>
      <c r="C159" t="s">
        <v>21</v>
      </c>
      <c r="F159" t="s">
        <v>17</v>
      </c>
      <c r="G159">
        <v>1145</v>
      </c>
      <c r="H159" t="s">
        <v>23</v>
      </c>
      <c r="I159">
        <v>9</v>
      </c>
      <c r="J159">
        <v>3</v>
      </c>
      <c r="K159" t="s">
        <v>27</v>
      </c>
      <c r="L159">
        <v>1</v>
      </c>
      <c r="M159">
        <v>214</v>
      </c>
      <c r="O159">
        <v>2</v>
      </c>
      <c r="P159">
        <v>1</v>
      </c>
      <c r="Q159" t="s">
        <v>24</v>
      </c>
      <c r="R159">
        <v>2</v>
      </c>
      <c r="S159">
        <v>3346</v>
      </c>
      <c r="T159" t="s">
        <v>16</v>
      </c>
    </row>
    <row r="160" spans="1:20" x14ac:dyDescent="0.25">
      <c r="A160">
        <v>40</v>
      </c>
      <c r="B160" t="str">
        <f t="shared" si="2"/>
        <v>35-44</v>
      </c>
      <c r="C160" t="s">
        <v>21</v>
      </c>
      <c r="F160" t="s">
        <v>17</v>
      </c>
      <c r="G160">
        <v>630</v>
      </c>
      <c r="H160" t="s">
        <v>18</v>
      </c>
      <c r="I160">
        <v>4</v>
      </c>
      <c r="J160">
        <v>4</v>
      </c>
      <c r="K160" t="s">
        <v>34</v>
      </c>
      <c r="L160">
        <v>1</v>
      </c>
      <c r="M160">
        <v>215</v>
      </c>
      <c r="O160">
        <v>3</v>
      </c>
      <c r="P160">
        <v>3</v>
      </c>
      <c r="Q160" t="s">
        <v>20</v>
      </c>
      <c r="R160">
        <v>4</v>
      </c>
      <c r="S160">
        <v>10855</v>
      </c>
      <c r="T160" t="s">
        <v>21</v>
      </c>
    </row>
    <row r="161" spans="1:20" x14ac:dyDescent="0.25">
      <c r="A161">
        <v>34</v>
      </c>
      <c r="B161" t="str">
        <f t="shared" si="2"/>
        <v>25-34</v>
      </c>
      <c r="C161" t="s">
        <v>21</v>
      </c>
      <c r="F161" t="s">
        <v>22</v>
      </c>
      <c r="G161">
        <v>303</v>
      </c>
      <c r="H161" t="s">
        <v>18</v>
      </c>
      <c r="I161">
        <v>2</v>
      </c>
      <c r="J161">
        <v>4</v>
      </c>
      <c r="K161" t="s">
        <v>34</v>
      </c>
      <c r="L161">
        <v>1</v>
      </c>
      <c r="M161">
        <v>216</v>
      </c>
      <c r="O161">
        <v>3</v>
      </c>
      <c r="P161">
        <v>1</v>
      </c>
      <c r="Q161" t="s">
        <v>32</v>
      </c>
      <c r="R161">
        <v>3</v>
      </c>
      <c r="S161">
        <v>2231</v>
      </c>
      <c r="T161" t="s">
        <v>21</v>
      </c>
    </row>
    <row r="162" spans="1:20" x14ac:dyDescent="0.25">
      <c r="A162">
        <v>22</v>
      </c>
      <c r="B162" t="str">
        <f t="shared" si="2"/>
        <v>18-24</v>
      </c>
      <c r="C162" t="s">
        <v>21</v>
      </c>
      <c r="F162" t="s">
        <v>17</v>
      </c>
      <c r="G162">
        <v>1256</v>
      </c>
      <c r="H162" t="s">
        <v>23</v>
      </c>
      <c r="I162">
        <v>19</v>
      </c>
      <c r="J162">
        <v>1</v>
      </c>
      <c r="K162" t="s">
        <v>27</v>
      </c>
      <c r="L162">
        <v>1</v>
      </c>
      <c r="M162">
        <v>217</v>
      </c>
      <c r="O162">
        <v>3</v>
      </c>
      <c r="P162">
        <v>1</v>
      </c>
      <c r="Q162" t="s">
        <v>24</v>
      </c>
      <c r="R162">
        <v>4</v>
      </c>
      <c r="S162">
        <v>2323</v>
      </c>
      <c r="T162" t="s">
        <v>21</v>
      </c>
    </row>
    <row r="163" spans="1:20" x14ac:dyDescent="0.25">
      <c r="A163">
        <v>27</v>
      </c>
      <c r="B163" t="str">
        <f t="shared" si="2"/>
        <v>25-34</v>
      </c>
      <c r="C163" t="s">
        <v>21</v>
      </c>
      <c r="F163" t="s">
        <v>30</v>
      </c>
      <c r="G163">
        <v>691</v>
      </c>
      <c r="H163" t="s">
        <v>23</v>
      </c>
      <c r="I163">
        <v>9</v>
      </c>
      <c r="J163">
        <v>3</v>
      </c>
      <c r="K163" t="s">
        <v>27</v>
      </c>
      <c r="L163">
        <v>1</v>
      </c>
      <c r="M163">
        <v>218</v>
      </c>
      <c r="O163">
        <v>4</v>
      </c>
      <c r="P163">
        <v>1</v>
      </c>
      <c r="Q163" t="s">
        <v>24</v>
      </c>
      <c r="R163">
        <v>2</v>
      </c>
      <c r="S163">
        <v>2024</v>
      </c>
      <c r="T163" t="s">
        <v>21</v>
      </c>
    </row>
    <row r="164" spans="1:20" x14ac:dyDescent="0.25">
      <c r="A164">
        <v>28</v>
      </c>
      <c r="B164" t="str">
        <f t="shared" si="2"/>
        <v>25-34</v>
      </c>
      <c r="C164" t="s">
        <v>21</v>
      </c>
      <c r="F164" t="s">
        <v>17</v>
      </c>
      <c r="G164">
        <v>440</v>
      </c>
      <c r="H164" t="s">
        <v>23</v>
      </c>
      <c r="I164">
        <v>21</v>
      </c>
      <c r="J164">
        <v>3</v>
      </c>
      <c r="K164" t="s">
        <v>27</v>
      </c>
      <c r="L164">
        <v>1</v>
      </c>
      <c r="M164">
        <v>221</v>
      </c>
      <c r="O164">
        <v>3</v>
      </c>
      <c r="P164">
        <v>1</v>
      </c>
      <c r="Q164" t="s">
        <v>24</v>
      </c>
      <c r="R164">
        <v>4</v>
      </c>
      <c r="S164">
        <v>2713</v>
      </c>
      <c r="T164" t="s">
        <v>21</v>
      </c>
    </row>
    <row r="165" spans="1:20" x14ac:dyDescent="0.25">
      <c r="A165">
        <v>57</v>
      </c>
      <c r="B165" t="str">
        <f t="shared" si="2"/>
        <v>55+</v>
      </c>
      <c r="C165" t="s">
        <v>21</v>
      </c>
      <c r="F165" t="s">
        <v>17</v>
      </c>
      <c r="G165">
        <v>334</v>
      </c>
      <c r="H165" t="s">
        <v>23</v>
      </c>
      <c r="I165">
        <v>24</v>
      </c>
      <c r="J165">
        <v>2</v>
      </c>
      <c r="K165" t="s">
        <v>19</v>
      </c>
      <c r="L165">
        <v>1</v>
      </c>
      <c r="M165">
        <v>223</v>
      </c>
      <c r="O165">
        <v>3</v>
      </c>
      <c r="P165">
        <v>3</v>
      </c>
      <c r="Q165" t="s">
        <v>29</v>
      </c>
      <c r="R165">
        <v>4</v>
      </c>
      <c r="S165">
        <v>9439</v>
      </c>
      <c r="T165" t="s">
        <v>16</v>
      </c>
    </row>
    <row r="166" spans="1:20" x14ac:dyDescent="0.25">
      <c r="A166">
        <v>27</v>
      </c>
      <c r="B166" t="str">
        <f t="shared" si="2"/>
        <v>25-34</v>
      </c>
      <c r="C166" t="s">
        <v>21</v>
      </c>
      <c r="F166" t="s">
        <v>30</v>
      </c>
      <c r="G166">
        <v>1450</v>
      </c>
      <c r="H166" t="s">
        <v>23</v>
      </c>
      <c r="I166">
        <v>3</v>
      </c>
      <c r="J166">
        <v>3</v>
      </c>
      <c r="K166" t="s">
        <v>27</v>
      </c>
      <c r="L166">
        <v>1</v>
      </c>
      <c r="M166">
        <v>224</v>
      </c>
      <c r="O166">
        <v>3</v>
      </c>
      <c r="P166">
        <v>1</v>
      </c>
      <c r="Q166" t="s">
        <v>24</v>
      </c>
      <c r="R166">
        <v>3</v>
      </c>
      <c r="S166">
        <v>2566</v>
      </c>
      <c r="T166" t="s">
        <v>16</v>
      </c>
    </row>
    <row r="167" spans="1:20" x14ac:dyDescent="0.25">
      <c r="A167">
        <v>50</v>
      </c>
      <c r="B167" t="str">
        <f t="shared" si="2"/>
        <v>45-54</v>
      </c>
      <c r="C167" t="s">
        <v>21</v>
      </c>
      <c r="F167" t="s">
        <v>17</v>
      </c>
      <c r="G167">
        <v>1452</v>
      </c>
      <c r="H167" t="s">
        <v>23</v>
      </c>
      <c r="I167">
        <v>11</v>
      </c>
      <c r="J167">
        <v>3</v>
      </c>
      <c r="K167" t="s">
        <v>19</v>
      </c>
      <c r="L167">
        <v>1</v>
      </c>
      <c r="M167">
        <v>226</v>
      </c>
      <c r="O167">
        <v>3</v>
      </c>
      <c r="P167">
        <v>5</v>
      </c>
      <c r="Q167" t="s">
        <v>31</v>
      </c>
      <c r="R167">
        <v>2</v>
      </c>
      <c r="S167">
        <v>19926</v>
      </c>
      <c r="T167" t="s">
        <v>21</v>
      </c>
    </row>
    <row r="168" spans="1:20" x14ac:dyDescent="0.25">
      <c r="A168">
        <v>41</v>
      </c>
      <c r="B168" t="str">
        <f t="shared" si="2"/>
        <v>35-44</v>
      </c>
      <c r="C168" t="s">
        <v>21</v>
      </c>
      <c r="F168" t="s">
        <v>17</v>
      </c>
      <c r="G168">
        <v>465</v>
      </c>
      <c r="H168" t="s">
        <v>23</v>
      </c>
      <c r="I168">
        <v>14</v>
      </c>
      <c r="J168">
        <v>3</v>
      </c>
      <c r="K168" t="s">
        <v>19</v>
      </c>
      <c r="L168">
        <v>1</v>
      </c>
      <c r="M168">
        <v>227</v>
      </c>
      <c r="O168">
        <v>1</v>
      </c>
      <c r="P168">
        <v>1</v>
      </c>
      <c r="Q168" t="s">
        <v>24</v>
      </c>
      <c r="R168">
        <v>3</v>
      </c>
      <c r="S168">
        <v>2451</v>
      </c>
      <c r="T168" t="s">
        <v>21</v>
      </c>
    </row>
    <row r="169" spans="1:20" x14ac:dyDescent="0.25">
      <c r="A169">
        <v>30</v>
      </c>
      <c r="B169" t="str">
        <f t="shared" si="2"/>
        <v>25-34</v>
      </c>
      <c r="C169" t="s">
        <v>21</v>
      </c>
      <c r="F169" t="s">
        <v>17</v>
      </c>
      <c r="G169">
        <v>1339</v>
      </c>
      <c r="H169" t="s">
        <v>18</v>
      </c>
      <c r="I169">
        <v>5</v>
      </c>
      <c r="J169">
        <v>3</v>
      </c>
      <c r="K169" t="s">
        <v>19</v>
      </c>
      <c r="L169">
        <v>1</v>
      </c>
      <c r="M169">
        <v>228</v>
      </c>
      <c r="O169">
        <v>2</v>
      </c>
      <c r="P169">
        <v>3</v>
      </c>
      <c r="Q169" t="s">
        <v>20</v>
      </c>
      <c r="R169">
        <v>4</v>
      </c>
      <c r="S169">
        <v>9419</v>
      </c>
      <c r="T169" t="s">
        <v>21</v>
      </c>
    </row>
    <row r="170" spans="1:20" x14ac:dyDescent="0.25">
      <c r="A170">
        <v>38</v>
      </c>
      <c r="B170" t="str">
        <f t="shared" si="2"/>
        <v>35-44</v>
      </c>
      <c r="C170" t="s">
        <v>21</v>
      </c>
      <c r="F170" t="s">
        <v>17</v>
      </c>
      <c r="G170">
        <v>702</v>
      </c>
      <c r="H170" t="s">
        <v>18</v>
      </c>
      <c r="I170">
        <v>1</v>
      </c>
      <c r="J170">
        <v>4</v>
      </c>
      <c r="K170" t="s">
        <v>19</v>
      </c>
      <c r="L170">
        <v>1</v>
      </c>
      <c r="M170">
        <v>230</v>
      </c>
      <c r="O170">
        <v>1</v>
      </c>
      <c r="P170">
        <v>2</v>
      </c>
      <c r="Q170" t="s">
        <v>20</v>
      </c>
      <c r="R170">
        <v>4</v>
      </c>
      <c r="S170">
        <v>8686</v>
      </c>
      <c r="T170" t="s">
        <v>21</v>
      </c>
    </row>
    <row r="171" spans="1:20" x14ac:dyDescent="0.25">
      <c r="A171">
        <v>32</v>
      </c>
      <c r="B171" t="str">
        <f t="shared" si="2"/>
        <v>25-34</v>
      </c>
      <c r="C171" t="s">
        <v>21</v>
      </c>
      <c r="F171" t="s">
        <v>17</v>
      </c>
      <c r="G171">
        <v>120</v>
      </c>
      <c r="H171" t="s">
        <v>23</v>
      </c>
      <c r="I171">
        <v>6</v>
      </c>
      <c r="J171">
        <v>5</v>
      </c>
      <c r="K171" t="s">
        <v>19</v>
      </c>
      <c r="L171">
        <v>1</v>
      </c>
      <c r="M171">
        <v>231</v>
      </c>
      <c r="O171">
        <v>3</v>
      </c>
      <c r="P171">
        <v>1</v>
      </c>
      <c r="Q171" t="s">
        <v>24</v>
      </c>
      <c r="R171">
        <v>3</v>
      </c>
      <c r="S171">
        <v>3038</v>
      </c>
      <c r="T171" t="s">
        <v>21</v>
      </c>
    </row>
    <row r="172" spans="1:20" x14ac:dyDescent="0.25">
      <c r="A172">
        <v>27</v>
      </c>
      <c r="B172" t="str">
        <f t="shared" si="2"/>
        <v>25-34</v>
      </c>
      <c r="C172" t="s">
        <v>21</v>
      </c>
      <c r="F172" t="s">
        <v>17</v>
      </c>
      <c r="G172">
        <v>1157</v>
      </c>
      <c r="H172" t="s">
        <v>23</v>
      </c>
      <c r="I172">
        <v>17</v>
      </c>
      <c r="J172">
        <v>3</v>
      </c>
      <c r="K172" t="s">
        <v>35</v>
      </c>
      <c r="L172">
        <v>1</v>
      </c>
      <c r="M172">
        <v>233</v>
      </c>
      <c r="O172">
        <v>3</v>
      </c>
      <c r="P172">
        <v>1</v>
      </c>
      <c r="Q172" t="s">
        <v>24</v>
      </c>
      <c r="R172">
        <v>2</v>
      </c>
      <c r="S172">
        <v>3058</v>
      </c>
      <c r="T172" t="s">
        <v>16</v>
      </c>
    </row>
    <row r="173" spans="1:20" x14ac:dyDescent="0.25">
      <c r="A173">
        <v>19</v>
      </c>
      <c r="B173" t="str">
        <f t="shared" si="2"/>
        <v>18-24</v>
      </c>
      <c r="C173" t="s">
        <v>16</v>
      </c>
      <c r="F173" t="s">
        <v>22</v>
      </c>
      <c r="G173">
        <v>602</v>
      </c>
      <c r="H173" t="s">
        <v>18</v>
      </c>
      <c r="I173">
        <v>1</v>
      </c>
      <c r="J173">
        <v>1</v>
      </c>
      <c r="K173" t="s">
        <v>35</v>
      </c>
      <c r="L173">
        <v>1</v>
      </c>
      <c r="M173">
        <v>235</v>
      </c>
      <c r="O173">
        <v>3</v>
      </c>
      <c r="P173">
        <v>1</v>
      </c>
      <c r="Q173" t="s">
        <v>32</v>
      </c>
      <c r="R173">
        <v>1</v>
      </c>
      <c r="S173">
        <v>2325</v>
      </c>
      <c r="T173" t="s">
        <v>21</v>
      </c>
    </row>
    <row r="174" spans="1:20" x14ac:dyDescent="0.25">
      <c r="A174">
        <v>36</v>
      </c>
      <c r="B174" t="str">
        <f t="shared" si="2"/>
        <v>35-44</v>
      </c>
      <c r="C174" t="s">
        <v>21</v>
      </c>
      <c r="F174" t="s">
        <v>22</v>
      </c>
      <c r="G174">
        <v>1480</v>
      </c>
      <c r="H174" t="s">
        <v>23</v>
      </c>
      <c r="I174">
        <v>3</v>
      </c>
      <c r="J174">
        <v>2</v>
      </c>
      <c r="K174" t="s">
        <v>27</v>
      </c>
      <c r="L174">
        <v>1</v>
      </c>
      <c r="M174">
        <v>238</v>
      </c>
      <c r="O174">
        <v>4</v>
      </c>
      <c r="P174">
        <v>1</v>
      </c>
      <c r="Q174" t="s">
        <v>26</v>
      </c>
      <c r="R174">
        <v>2</v>
      </c>
      <c r="S174">
        <v>2088</v>
      </c>
      <c r="T174" t="s">
        <v>21</v>
      </c>
    </row>
    <row r="175" spans="1:20" x14ac:dyDescent="0.25">
      <c r="A175">
        <v>30</v>
      </c>
      <c r="B175" t="str">
        <f t="shared" si="2"/>
        <v>25-34</v>
      </c>
      <c r="C175" t="s">
        <v>21</v>
      </c>
      <c r="F175" t="s">
        <v>30</v>
      </c>
      <c r="G175">
        <v>111</v>
      </c>
      <c r="H175" t="s">
        <v>23</v>
      </c>
      <c r="I175">
        <v>9</v>
      </c>
      <c r="J175">
        <v>3</v>
      </c>
      <c r="K175" t="s">
        <v>27</v>
      </c>
      <c r="L175">
        <v>1</v>
      </c>
      <c r="M175">
        <v>239</v>
      </c>
      <c r="O175">
        <v>3</v>
      </c>
      <c r="P175">
        <v>2</v>
      </c>
      <c r="Q175" t="s">
        <v>26</v>
      </c>
      <c r="R175">
        <v>1</v>
      </c>
      <c r="S175">
        <v>3072</v>
      </c>
      <c r="T175" t="s">
        <v>21</v>
      </c>
    </row>
    <row r="176" spans="1:20" x14ac:dyDescent="0.25">
      <c r="A176">
        <v>45</v>
      </c>
      <c r="B176" t="str">
        <f t="shared" si="2"/>
        <v>45-54</v>
      </c>
      <c r="C176" t="s">
        <v>21</v>
      </c>
      <c r="F176" t="s">
        <v>17</v>
      </c>
      <c r="G176">
        <v>1268</v>
      </c>
      <c r="H176" t="s">
        <v>18</v>
      </c>
      <c r="I176">
        <v>4</v>
      </c>
      <c r="J176">
        <v>2</v>
      </c>
      <c r="K176" t="s">
        <v>19</v>
      </c>
      <c r="L176">
        <v>1</v>
      </c>
      <c r="M176">
        <v>240</v>
      </c>
      <c r="O176">
        <v>3</v>
      </c>
      <c r="P176">
        <v>2</v>
      </c>
      <c r="Q176" t="s">
        <v>20</v>
      </c>
      <c r="R176">
        <v>1</v>
      </c>
      <c r="S176">
        <v>5006</v>
      </c>
      <c r="T176" t="s">
        <v>16</v>
      </c>
    </row>
    <row r="177" spans="1:20" x14ac:dyDescent="0.25">
      <c r="A177">
        <v>56</v>
      </c>
      <c r="B177" t="str">
        <f t="shared" si="2"/>
        <v>55+</v>
      </c>
      <c r="C177" t="s">
        <v>21</v>
      </c>
      <c r="F177" t="s">
        <v>17</v>
      </c>
      <c r="G177">
        <v>713</v>
      </c>
      <c r="H177" t="s">
        <v>23</v>
      </c>
      <c r="I177">
        <v>8</v>
      </c>
      <c r="J177">
        <v>3</v>
      </c>
      <c r="K177" t="s">
        <v>19</v>
      </c>
      <c r="L177">
        <v>1</v>
      </c>
      <c r="M177">
        <v>241</v>
      </c>
      <c r="O177">
        <v>3</v>
      </c>
      <c r="P177">
        <v>1</v>
      </c>
      <c r="Q177" t="s">
        <v>24</v>
      </c>
      <c r="R177">
        <v>1</v>
      </c>
      <c r="S177">
        <v>4257</v>
      </c>
      <c r="T177" t="s">
        <v>16</v>
      </c>
    </row>
    <row r="178" spans="1:20" x14ac:dyDescent="0.25">
      <c r="A178">
        <v>33</v>
      </c>
      <c r="B178" t="str">
        <f t="shared" si="2"/>
        <v>25-34</v>
      </c>
      <c r="C178" t="s">
        <v>21</v>
      </c>
      <c r="F178" t="s">
        <v>17</v>
      </c>
      <c r="G178">
        <v>134</v>
      </c>
      <c r="H178" t="s">
        <v>23</v>
      </c>
      <c r="I178">
        <v>2</v>
      </c>
      <c r="J178">
        <v>3</v>
      </c>
      <c r="K178" t="s">
        <v>19</v>
      </c>
      <c r="L178">
        <v>1</v>
      </c>
      <c r="M178">
        <v>242</v>
      </c>
      <c r="O178">
        <v>3</v>
      </c>
      <c r="P178">
        <v>1</v>
      </c>
      <c r="Q178" t="s">
        <v>24</v>
      </c>
      <c r="R178">
        <v>4</v>
      </c>
      <c r="S178">
        <v>2500</v>
      </c>
      <c r="T178" t="s">
        <v>21</v>
      </c>
    </row>
    <row r="179" spans="1:20" x14ac:dyDescent="0.25">
      <c r="A179">
        <v>19</v>
      </c>
      <c r="B179" t="str">
        <f t="shared" si="2"/>
        <v>18-24</v>
      </c>
      <c r="C179" t="s">
        <v>16</v>
      </c>
      <c r="F179" t="s">
        <v>17</v>
      </c>
      <c r="G179">
        <v>303</v>
      </c>
      <c r="H179" t="s">
        <v>23</v>
      </c>
      <c r="I179">
        <v>2</v>
      </c>
      <c r="J179">
        <v>3</v>
      </c>
      <c r="K179" t="s">
        <v>19</v>
      </c>
      <c r="L179">
        <v>1</v>
      </c>
      <c r="M179">
        <v>243</v>
      </c>
      <c r="O179">
        <v>2</v>
      </c>
      <c r="P179">
        <v>1</v>
      </c>
      <c r="Q179" t="s">
        <v>26</v>
      </c>
      <c r="R179">
        <v>4</v>
      </c>
      <c r="S179">
        <v>1102</v>
      </c>
      <c r="T179" t="s">
        <v>21</v>
      </c>
    </row>
    <row r="180" spans="1:20" x14ac:dyDescent="0.25">
      <c r="A180">
        <v>46</v>
      </c>
      <c r="B180" t="str">
        <f t="shared" si="2"/>
        <v>45-54</v>
      </c>
      <c r="C180" t="s">
        <v>21</v>
      </c>
      <c r="F180" t="s">
        <v>17</v>
      </c>
      <c r="G180">
        <v>526</v>
      </c>
      <c r="H180" t="s">
        <v>18</v>
      </c>
      <c r="I180">
        <v>1</v>
      </c>
      <c r="J180">
        <v>2</v>
      </c>
      <c r="K180" t="s">
        <v>34</v>
      </c>
      <c r="L180">
        <v>1</v>
      </c>
      <c r="M180">
        <v>244</v>
      </c>
      <c r="O180">
        <v>2</v>
      </c>
      <c r="P180">
        <v>3</v>
      </c>
      <c r="Q180" t="s">
        <v>20</v>
      </c>
      <c r="R180">
        <v>1</v>
      </c>
      <c r="S180">
        <v>10453</v>
      </c>
      <c r="T180" t="s">
        <v>21</v>
      </c>
    </row>
    <row r="181" spans="1:20" x14ac:dyDescent="0.25">
      <c r="A181">
        <v>38</v>
      </c>
      <c r="B181" t="str">
        <f t="shared" si="2"/>
        <v>35-44</v>
      </c>
      <c r="C181" t="s">
        <v>21</v>
      </c>
      <c r="F181" t="s">
        <v>17</v>
      </c>
      <c r="G181">
        <v>1380</v>
      </c>
      <c r="H181" t="s">
        <v>23</v>
      </c>
      <c r="I181">
        <v>9</v>
      </c>
      <c r="J181">
        <v>2</v>
      </c>
      <c r="K181" t="s">
        <v>19</v>
      </c>
      <c r="L181">
        <v>1</v>
      </c>
      <c r="M181">
        <v>245</v>
      </c>
      <c r="O181">
        <v>3</v>
      </c>
      <c r="P181">
        <v>1</v>
      </c>
      <c r="Q181" t="s">
        <v>26</v>
      </c>
      <c r="R181">
        <v>4</v>
      </c>
      <c r="S181">
        <v>2288</v>
      </c>
      <c r="T181" t="s">
        <v>21</v>
      </c>
    </row>
    <row r="182" spans="1:20" x14ac:dyDescent="0.25">
      <c r="A182">
        <v>31</v>
      </c>
      <c r="B182" t="str">
        <f t="shared" si="2"/>
        <v>25-34</v>
      </c>
      <c r="C182" t="s">
        <v>21</v>
      </c>
      <c r="F182" t="s">
        <v>17</v>
      </c>
      <c r="G182">
        <v>140</v>
      </c>
      <c r="H182" t="s">
        <v>23</v>
      </c>
      <c r="I182">
        <v>12</v>
      </c>
      <c r="J182">
        <v>1</v>
      </c>
      <c r="K182" t="s">
        <v>27</v>
      </c>
      <c r="L182">
        <v>1</v>
      </c>
      <c r="M182">
        <v>246</v>
      </c>
      <c r="O182">
        <v>3</v>
      </c>
      <c r="P182">
        <v>1</v>
      </c>
      <c r="Q182" t="s">
        <v>24</v>
      </c>
      <c r="R182">
        <v>4</v>
      </c>
      <c r="S182">
        <v>3929</v>
      </c>
      <c r="T182" t="s">
        <v>16</v>
      </c>
    </row>
    <row r="183" spans="1:20" x14ac:dyDescent="0.25">
      <c r="A183">
        <v>34</v>
      </c>
      <c r="B183" t="str">
        <f t="shared" si="2"/>
        <v>25-34</v>
      </c>
      <c r="C183" t="s">
        <v>21</v>
      </c>
      <c r="F183" t="s">
        <v>17</v>
      </c>
      <c r="G183">
        <v>629</v>
      </c>
      <c r="H183" t="s">
        <v>23</v>
      </c>
      <c r="I183">
        <v>27</v>
      </c>
      <c r="J183">
        <v>2</v>
      </c>
      <c r="K183" t="s">
        <v>27</v>
      </c>
      <c r="L183">
        <v>1</v>
      </c>
      <c r="M183">
        <v>247</v>
      </c>
      <c r="O183">
        <v>4</v>
      </c>
      <c r="P183">
        <v>1</v>
      </c>
      <c r="Q183" t="s">
        <v>24</v>
      </c>
      <c r="R183">
        <v>2</v>
      </c>
      <c r="S183">
        <v>2311</v>
      </c>
      <c r="T183" t="s">
        <v>21</v>
      </c>
    </row>
    <row r="184" spans="1:20" x14ac:dyDescent="0.25">
      <c r="A184">
        <v>41</v>
      </c>
      <c r="B184" t="str">
        <f t="shared" si="2"/>
        <v>35-44</v>
      </c>
      <c r="C184" t="s">
        <v>16</v>
      </c>
      <c r="F184" t="s">
        <v>17</v>
      </c>
      <c r="G184">
        <v>1356</v>
      </c>
      <c r="H184" t="s">
        <v>18</v>
      </c>
      <c r="I184">
        <v>20</v>
      </c>
      <c r="J184">
        <v>2</v>
      </c>
      <c r="K184" t="s">
        <v>34</v>
      </c>
      <c r="L184">
        <v>1</v>
      </c>
      <c r="M184">
        <v>248</v>
      </c>
      <c r="O184">
        <v>2</v>
      </c>
      <c r="P184">
        <v>1</v>
      </c>
      <c r="Q184" t="s">
        <v>32</v>
      </c>
      <c r="R184">
        <v>2</v>
      </c>
      <c r="S184">
        <v>3140</v>
      </c>
      <c r="T184" t="s">
        <v>16</v>
      </c>
    </row>
    <row r="185" spans="1:20" x14ac:dyDescent="0.25">
      <c r="A185">
        <v>50</v>
      </c>
      <c r="B185" t="str">
        <f t="shared" si="2"/>
        <v>45-54</v>
      </c>
      <c r="C185" t="s">
        <v>21</v>
      </c>
      <c r="F185" t="s">
        <v>17</v>
      </c>
      <c r="G185">
        <v>328</v>
      </c>
      <c r="H185" t="s">
        <v>23</v>
      </c>
      <c r="I185">
        <v>1</v>
      </c>
      <c r="J185">
        <v>3</v>
      </c>
      <c r="K185" t="s">
        <v>27</v>
      </c>
      <c r="L185">
        <v>1</v>
      </c>
      <c r="M185">
        <v>249</v>
      </c>
      <c r="O185">
        <v>3</v>
      </c>
      <c r="P185">
        <v>1</v>
      </c>
      <c r="Q185" t="s">
        <v>26</v>
      </c>
      <c r="R185">
        <v>3</v>
      </c>
      <c r="S185">
        <v>3690</v>
      </c>
      <c r="T185" t="s">
        <v>21</v>
      </c>
    </row>
    <row r="186" spans="1:20" x14ac:dyDescent="0.25">
      <c r="A186">
        <v>53</v>
      </c>
      <c r="B186" t="str">
        <f t="shared" si="2"/>
        <v>45-54</v>
      </c>
      <c r="C186" t="s">
        <v>21</v>
      </c>
      <c r="F186" t="s">
        <v>17</v>
      </c>
      <c r="G186">
        <v>1084</v>
      </c>
      <c r="H186" t="s">
        <v>23</v>
      </c>
      <c r="I186">
        <v>13</v>
      </c>
      <c r="J186">
        <v>2</v>
      </c>
      <c r="K186" t="s">
        <v>27</v>
      </c>
      <c r="L186">
        <v>1</v>
      </c>
      <c r="M186">
        <v>250</v>
      </c>
      <c r="O186">
        <v>4</v>
      </c>
      <c r="P186">
        <v>2</v>
      </c>
      <c r="Q186" t="s">
        <v>28</v>
      </c>
      <c r="R186">
        <v>1</v>
      </c>
      <c r="S186">
        <v>4450</v>
      </c>
      <c r="T186" t="s">
        <v>21</v>
      </c>
    </row>
    <row r="187" spans="1:20" x14ac:dyDescent="0.25">
      <c r="A187">
        <v>33</v>
      </c>
      <c r="B187" t="str">
        <f t="shared" si="2"/>
        <v>25-34</v>
      </c>
      <c r="C187" t="s">
        <v>21</v>
      </c>
      <c r="F187" t="s">
        <v>17</v>
      </c>
      <c r="G187">
        <v>931</v>
      </c>
      <c r="H187" t="s">
        <v>23</v>
      </c>
      <c r="I187">
        <v>14</v>
      </c>
      <c r="J187">
        <v>3</v>
      </c>
      <c r="K187" t="s">
        <v>27</v>
      </c>
      <c r="L187">
        <v>1</v>
      </c>
      <c r="M187">
        <v>252</v>
      </c>
      <c r="O187">
        <v>4</v>
      </c>
      <c r="P187">
        <v>1</v>
      </c>
      <c r="Q187" t="s">
        <v>24</v>
      </c>
      <c r="R187">
        <v>2</v>
      </c>
      <c r="S187">
        <v>2756</v>
      </c>
      <c r="T187" t="s">
        <v>21</v>
      </c>
    </row>
    <row r="188" spans="1:20" x14ac:dyDescent="0.25">
      <c r="A188">
        <v>40</v>
      </c>
      <c r="B188" t="str">
        <f t="shared" si="2"/>
        <v>35-44</v>
      </c>
      <c r="C188" t="s">
        <v>21</v>
      </c>
      <c r="F188" t="s">
        <v>17</v>
      </c>
      <c r="G188">
        <v>989</v>
      </c>
      <c r="H188" t="s">
        <v>23</v>
      </c>
      <c r="I188">
        <v>4</v>
      </c>
      <c r="J188">
        <v>1</v>
      </c>
      <c r="K188" t="s">
        <v>27</v>
      </c>
      <c r="L188">
        <v>1</v>
      </c>
      <c r="M188">
        <v>253</v>
      </c>
      <c r="O188">
        <v>4</v>
      </c>
      <c r="P188">
        <v>5</v>
      </c>
      <c r="Q188" t="s">
        <v>31</v>
      </c>
      <c r="R188">
        <v>3</v>
      </c>
      <c r="S188">
        <v>19033</v>
      </c>
      <c r="T188" t="s">
        <v>21</v>
      </c>
    </row>
    <row r="189" spans="1:20" x14ac:dyDescent="0.25">
      <c r="A189">
        <v>55</v>
      </c>
      <c r="B189" t="str">
        <f t="shared" si="2"/>
        <v>55+</v>
      </c>
      <c r="C189" t="s">
        <v>21</v>
      </c>
      <c r="F189" t="s">
        <v>17</v>
      </c>
      <c r="G189">
        <v>692</v>
      </c>
      <c r="H189" t="s">
        <v>23</v>
      </c>
      <c r="I189">
        <v>14</v>
      </c>
      <c r="J189">
        <v>4</v>
      </c>
      <c r="K189" t="s">
        <v>27</v>
      </c>
      <c r="L189">
        <v>1</v>
      </c>
      <c r="M189">
        <v>254</v>
      </c>
      <c r="O189">
        <v>3</v>
      </c>
      <c r="P189">
        <v>5</v>
      </c>
      <c r="Q189" t="s">
        <v>33</v>
      </c>
      <c r="R189">
        <v>2</v>
      </c>
      <c r="S189">
        <v>18722</v>
      </c>
      <c r="T189" t="s">
        <v>21</v>
      </c>
    </row>
    <row r="190" spans="1:20" x14ac:dyDescent="0.25">
      <c r="A190">
        <v>34</v>
      </c>
      <c r="B190" t="str">
        <f t="shared" si="2"/>
        <v>25-34</v>
      </c>
      <c r="C190" t="s">
        <v>21</v>
      </c>
      <c r="F190" t="s">
        <v>22</v>
      </c>
      <c r="G190">
        <v>1069</v>
      </c>
      <c r="H190" t="s">
        <v>23</v>
      </c>
      <c r="I190">
        <v>2</v>
      </c>
      <c r="J190">
        <v>1</v>
      </c>
      <c r="K190" t="s">
        <v>19</v>
      </c>
      <c r="L190">
        <v>1</v>
      </c>
      <c r="M190">
        <v>256</v>
      </c>
      <c r="O190">
        <v>4</v>
      </c>
      <c r="P190">
        <v>2</v>
      </c>
      <c r="Q190" t="s">
        <v>28</v>
      </c>
      <c r="R190">
        <v>3</v>
      </c>
      <c r="S190">
        <v>9547</v>
      </c>
      <c r="T190" t="s">
        <v>21</v>
      </c>
    </row>
    <row r="191" spans="1:20" x14ac:dyDescent="0.25">
      <c r="A191">
        <v>51</v>
      </c>
      <c r="B191" t="str">
        <f t="shared" si="2"/>
        <v>45-54</v>
      </c>
      <c r="C191" t="s">
        <v>21</v>
      </c>
      <c r="F191" t="s">
        <v>17</v>
      </c>
      <c r="G191">
        <v>313</v>
      </c>
      <c r="H191" t="s">
        <v>23</v>
      </c>
      <c r="I191">
        <v>3</v>
      </c>
      <c r="J191">
        <v>3</v>
      </c>
      <c r="K191" t="s">
        <v>27</v>
      </c>
      <c r="L191">
        <v>1</v>
      </c>
      <c r="M191">
        <v>258</v>
      </c>
      <c r="O191">
        <v>4</v>
      </c>
      <c r="P191">
        <v>4</v>
      </c>
      <c r="Q191" t="s">
        <v>29</v>
      </c>
      <c r="R191">
        <v>2</v>
      </c>
      <c r="S191">
        <v>13734</v>
      </c>
      <c r="T191" t="s">
        <v>21</v>
      </c>
    </row>
    <row r="192" spans="1:20" x14ac:dyDescent="0.25">
      <c r="A192">
        <v>52</v>
      </c>
      <c r="B192" t="str">
        <f t="shared" si="2"/>
        <v>45-54</v>
      </c>
      <c r="C192" t="s">
        <v>21</v>
      </c>
      <c r="F192" t="s">
        <v>17</v>
      </c>
      <c r="G192">
        <v>699</v>
      </c>
      <c r="H192" t="s">
        <v>23</v>
      </c>
      <c r="I192">
        <v>1</v>
      </c>
      <c r="J192">
        <v>4</v>
      </c>
      <c r="K192" t="s">
        <v>19</v>
      </c>
      <c r="L192">
        <v>1</v>
      </c>
      <c r="M192">
        <v>259</v>
      </c>
      <c r="O192">
        <v>3</v>
      </c>
      <c r="P192">
        <v>5</v>
      </c>
      <c r="Q192" t="s">
        <v>31</v>
      </c>
      <c r="R192">
        <v>3</v>
      </c>
      <c r="S192">
        <v>19999</v>
      </c>
      <c r="T192" t="s">
        <v>21</v>
      </c>
    </row>
    <row r="193" spans="1:20" x14ac:dyDescent="0.25">
      <c r="A193">
        <v>27</v>
      </c>
      <c r="B193" t="str">
        <f t="shared" si="2"/>
        <v>25-34</v>
      </c>
      <c r="C193" t="s">
        <v>21</v>
      </c>
      <c r="F193" t="s">
        <v>17</v>
      </c>
      <c r="G193">
        <v>894</v>
      </c>
      <c r="H193" t="s">
        <v>23</v>
      </c>
      <c r="I193">
        <v>9</v>
      </c>
      <c r="J193">
        <v>3</v>
      </c>
      <c r="K193" t="s">
        <v>27</v>
      </c>
      <c r="L193">
        <v>1</v>
      </c>
      <c r="M193">
        <v>260</v>
      </c>
      <c r="O193">
        <v>4</v>
      </c>
      <c r="P193">
        <v>1</v>
      </c>
      <c r="Q193" t="s">
        <v>24</v>
      </c>
      <c r="R193">
        <v>2</v>
      </c>
      <c r="S193">
        <v>2279</v>
      </c>
      <c r="T193" t="s">
        <v>21</v>
      </c>
    </row>
    <row r="194" spans="1:20" x14ac:dyDescent="0.25">
      <c r="A194">
        <v>35</v>
      </c>
      <c r="B194" t="str">
        <f t="shared" si="2"/>
        <v>35-44</v>
      </c>
      <c r="C194" t="s">
        <v>16</v>
      </c>
      <c r="F194" t="s">
        <v>17</v>
      </c>
      <c r="G194">
        <v>556</v>
      </c>
      <c r="H194" t="s">
        <v>23</v>
      </c>
      <c r="I194">
        <v>23</v>
      </c>
      <c r="J194">
        <v>2</v>
      </c>
      <c r="K194" t="s">
        <v>19</v>
      </c>
      <c r="L194">
        <v>1</v>
      </c>
      <c r="M194">
        <v>261</v>
      </c>
      <c r="O194">
        <v>2</v>
      </c>
      <c r="P194">
        <v>2</v>
      </c>
      <c r="Q194" t="s">
        <v>28</v>
      </c>
      <c r="R194">
        <v>3</v>
      </c>
      <c r="S194">
        <v>5916</v>
      </c>
      <c r="T194" t="s">
        <v>16</v>
      </c>
    </row>
    <row r="195" spans="1:20" x14ac:dyDescent="0.25">
      <c r="A195">
        <v>43</v>
      </c>
      <c r="B195" t="str">
        <f t="shared" ref="B195:B258" si="3">IF(A195&lt;=24,"18-24",IF(A195&lt;=34,"25-34",IF(A195&lt;=44,"35-44",IF(A195&lt;=54,"45-54","55+"))))</f>
        <v>35-44</v>
      </c>
      <c r="C195" t="s">
        <v>21</v>
      </c>
      <c r="F195" t="s">
        <v>30</v>
      </c>
      <c r="G195">
        <v>1344</v>
      </c>
      <c r="H195" t="s">
        <v>23</v>
      </c>
      <c r="I195">
        <v>7</v>
      </c>
      <c r="J195">
        <v>3</v>
      </c>
      <c r="K195" t="s">
        <v>27</v>
      </c>
      <c r="L195">
        <v>1</v>
      </c>
      <c r="M195">
        <v>262</v>
      </c>
      <c r="O195">
        <v>4</v>
      </c>
      <c r="P195">
        <v>1</v>
      </c>
      <c r="Q195" t="s">
        <v>24</v>
      </c>
      <c r="R195">
        <v>4</v>
      </c>
      <c r="S195">
        <v>2089</v>
      </c>
      <c r="T195" t="s">
        <v>21</v>
      </c>
    </row>
    <row r="196" spans="1:20" x14ac:dyDescent="0.25">
      <c r="A196">
        <v>45</v>
      </c>
      <c r="B196" t="str">
        <f t="shared" si="3"/>
        <v>45-54</v>
      </c>
      <c r="C196" t="s">
        <v>21</v>
      </c>
      <c r="F196" t="s">
        <v>30</v>
      </c>
      <c r="G196">
        <v>1195</v>
      </c>
      <c r="H196" t="s">
        <v>23</v>
      </c>
      <c r="I196">
        <v>2</v>
      </c>
      <c r="J196">
        <v>2</v>
      </c>
      <c r="K196" t="s">
        <v>27</v>
      </c>
      <c r="L196">
        <v>1</v>
      </c>
      <c r="M196">
        <v>264</v>
      </c>
      <c r="O196">
        <v>1</v>
      </c>
      <c r="P196">
        <v>4</v>
      </c>
      <c r="Q196" t="s">
        <v>31</v>
      </c>
      <c r="R196">
        <v>4</v>
      </c>
      <c r="S196">
        <v>16792</v>
      </c>
      <c r="T196" t="s">
        <v>21</v>
      </c>
    </row>
    <row r="197" spans="1:20" x14ac:dyDescent="0.25">
      <c r="A197">
        <v>37</v>
      </c>
      <c r="B197" t="str">
        <f t="shared" si="3"/>
        <v>35-44</v>
      </c>
      <c r="C197" t="s">
        <v>21</v>
      </c>
      <c r="F197" t="s">
        <v>17</v>
      </c>
      <c r="G197">
        <v>290</v>
      </c>
      <c r="H197" t="s">
        <v>23</v>
      </c>
      <c r="I197">
        <v>21</v>
      </c>
      <c r="J197">
        <v>3</v>
      </c>
      <c r="K197" t="s">
        <v>19</v>
      </c>
      <c r="L197">
        <v>1</v>
      </c>
      <c r="M197">
        <v>267</v>
      </c>
      <c r="O197">
        <v>2</v>
      </c>
      <c r="P197">
        <v>1</v>
      </c>
      <c r="Q197" t="s">
        <v>24</v>
      </c>
      <c r="R197">
        <v>1</v>
      </c>
      <c r="S197">
        <v>3564</v>
      </c>
      <c r="T197" t="s">
        <v>16</v>
      </c>
    </row>
    <row r="198" spans="1:20" x14ac:dyDescent="0.25">
      <c r="A198">
        <v>35</v>
      </c>
      <c r="B198" t="str">
        <f t="shared" si="3"/>
        <v>35-44</v>
      </c>
      <c r="C198" t="s">
        <v>21</v>
      </c>
      <c r="F198" t="s">
        <v>22</v>
      </c>
      <c r="G198">
        <v>138</v>
      </c>
      <c r="H198" t="s">
        <v>23</v>
      </c>
      <c r="I198">
        <v>2</v>
      </c>
      <c r="J198">
        <v>3</v>
      </c>
      <c r="K198" t="s">
        <v>27</v>
      </c>
      <c r="L198">
        <v>1</v>
      </c>
      <c r="M198">
        <v>269</v>
      </c>
      <c r="O198">
        <v>2</v>
      </c>
      <c r="P198">
        <v>2</v>
      </c>
      <c r="Q198" t="s">
        <v>26</v>
      </c>
      <c r="R198">
        <v>2</v>
      </c>
      <c r="S198">
        <v>4425</v>
      </c>
      <c r="T198" t="s">
        <v>21</v>
      </c>
    </row>
    <row r="199" spans="1:20" x14ac:dyDescent="0.25">
      <c r="A199">
        <v>42</v>
      </c>
      <c r="B199" t="str">
        <f t="shared" si="3"/>
        <v>35-44</v>
      </c>
      <c r="C199" t="s">
        <v>21</v>
      </c>
      <c r="F199" t="s">
        <v>30</v>
      </c>
      <c r="G199">
        <v>926</v>
      </c>
      <c r="H199" t="s">
        <v>23</v>
      </c>
      <c r="I199">
        <v>21</v>
      </c>
      <c r="J199">
        <v>2</v>
      </c>
      <c r="K199" t="s">
        <v>27</v>
      </c>
      <c r="L199">
        <v>1</v>
      </c>
      <c r="M199">
        <v>270</v>
      </c>
      <c r="O199">
        <v>3</v>
      </c>
      <c r="P199">
        <v>2</v>
      </c>
      <c r="Q199" t="s">
        <v>28</v>
      </c>
      <c r="R199">
        <v>3</v>
      </c>
      <c r="S199">
        <v>5265</v>
      </c>
      <c r="T199" t="s">
        <v>21</v>
      </c>
    </row>
    <row r="200" spans="1:20" x14ac:dyDescent="0.25">
      <c r="A200">
        <v>38</v>
      </c>
      <c r="B200" t="str">
        <f t="shared" si="3"/>
        <v>35-44</v>
      </c>
      <c r="C200" t="s">
        <v>21</v>
      </c>
      <c r="F200" t="s">
        <v>17</v>
      </c>
      <c r="G200">
        <v>1261</v>
      </c>
      <c r="H200" t="s">
        <v>23</v>
      </c>
      <c r="I200">
        <v>2</v>
      </c>
      <c r="J200">
        <v>4</v>
      </c>
      <c r="K200" t="s">
        <v>19</v>
      </c>
      <c r="L200">
        <v>1</v>
      </c>
      <c r="M200">
        <v>271</v>
      </c>
      <c r="O200">
        <v>4</v>
      </c>
      <c r="P200">
        <v>2</v>
      </c>
      <c r="Q200" t="s">
        <v>28</v>
      </c>
      <c r="R200">
        <v>3</v>
      </c>
      <c r="S200">
        <v>6553</v>
      </c>
      <c r="T200" t="s">
        <v>21</v>
      </c>
    </row>
    <row r="201" spans="1:20" x14ac:dyDescent="0.25">
      <c r="A201">
        <v>38</v>
      </c>
      <c r="B201" t="str">
        <f t="shared" si="3"/>
        <v>35-44</v>
      </c>
      <c r="C201" t="s">
        <v>21</v>
      </c>
      <c r="F201" t="s">
        <v>17</v>
      </c>
      <c r="G201">
        <v>1084</v>
      </c>
      <c r="H201" t="s">
        <v>23</v>
      </c>
      <c r="I201">
        <v>29</v>
      </c>
      <c r="J201">
        <v>3</v>
      </c>
      <c r="K201" t="s">
        <v>35</v>
      </c>
      <c r="L201">
        <v>1</v>
      </c>
      <c r="M201">
        <v>273</v>
      </c>
      <c r="O201">
        <v>4</v>
      </c>
      <c r="P201">
        <v>2</v>
      </c>
      <c r="Q201" t="s">
        <v>28</v>
      </c>
      <c r="R201">
        <v>4</v>
      </c>
      <c r="S201">
        <v>6261</v>
      </c>
      <c r="T201" t="s">
        <v>21</v>
      </c>
    </row>
    <row r="202" spans="1:20" x14ac:dyDescent="0.25">
      <c r="A202">
        <v>27</v>
      </c>
      <c r="B202" t="str">
        <f t="shared" si="3"/>
        <v>25-34</v>
      </c>
      <c r="C202" t="s">
        <v>21</v>
      </c>
      <c r="F202" t="s">
        <v>22</v>
      </c>
      <c r="G202">
        <v>472</v>
      </c>
      <c r="H202" t="s">
        <v>23</v>
      </c>
      <c r="I202">
        <v>1</v>
      </c>
      <c r="J202">
        <v>1</v>
      </c>
      <c r="K202" t="s">
        <v>35</v>
      </c>
      <c r="L202">
        <v>1</v>
      </c>
      <c r="M202">
        <v>274</v>
      </c>
      <c r="O202">
        <v>3</v>
      </c>
      <c r="P202">
        <v>2</v>
      </c>
      <c r="Q202" t="s">
        <v>28</v>
      </c>
      <c r="R202">
        <v>1</v>
      </c>
      <c r="S202">
        <v>4298</v>
      </c>
      <c r="T202" t="s">
        <v>21</v>
      </c>
    </row>
    <row r="203" spans="1:20" x14ac:dyDescent="0.25">
      <c r="A203">
        <v>49</v>
      </c>
      <c r="B203" t="str">
        <f t="shared" si="3"/>
        <v>45-54</v>
      </c>
      <c r="C203" t="s">
        <v>21</v>
      </c>
      <c r="F203" t="s">
        <v>30</v>
      </c>
      <c r="G203">
        <v>1002</v>
      </c>
      <c r="H203" t="s">
        <v>23</v>
      </c>
      <c r="I203">
        <v>18</v>
      </c>
      <c r="J203">
        <v>4</v>
      </c>
      <c r="K203" t="s">
        <v>19</v>
      </c>
      <c r="L203">
        <v>1</v>
      </c>
      <c r="M203">
        <v>275</v>
      </c>
      <c r="O203">
        <v>4</v>
      </c>
      <c r="P203">
        <v>2</v>
      </c>
      <c r="Q203" t="s">
        <v>28</v>
      </c>
      <c r="R203">
        <v>4</v>
      </c>
      <c r="S203">
        <v>6804</v>
      </c>
      <c r="T203" t="s">
        <v>16</v>
      </c>
    </row>
    <row r="204" spans="1:20" x14ac:dyDescent="0.25">
      <c r="A204">
        <v>34</v>
      </c>
      <c r="B204" t="str">
        <f t="shared" si="3"/>
        <v>25-34</v>
      </c>
      <c r="C204" t="s">
        <v>21</v>
      </c>
      <c r="F204" t="s">
        <v>22</v>
      </c>
      <c r="G204">
        <v>878</v>
      </c>
      <c r="H204" t="s">
        <v>23</v>
      </c>
      <c r="I204">
        <v>10</v>
      </c>
      <c r="J204">
        <v>4</v>
      </c>
      <c r="K204" t="s">
        <v>27</v>
      </c>
      <c r="L204">
        <v>1</v>
      </c>
      <c r="M204">
        <v>277</v>
      </c>
      <c r="O204">
        <v>4</v>
      </c>
      <c r="P204">
        <v>1</v>
      </c>
      <c r="Q204" t="s">
        <v>24</v>
      </c>
      <c r="R204">
        <v>3</v>
      </c>
      <c r="S204">
        <v>3815</v>
      </c>
      <c r="T204" t="s">
        <v>16</v>
      </c>
    </row>
    <row r="205" spans="1:20" x14ac:dyDescent="0.25">
      <c r="A205">
        <v>40</v>
      </c>
      <c r="B205" t="str">
        <f t="shared" si="3"/>
        <v>35-44</v>
      </c>
      <c r="C205" t="s">
        <v>21</v>
      </c>
      <c r="F205" t="s">
        <v>17</v>
      </c>
      <c r="G205">
        <v>905</v>
      </c>
      <c r="H205" t="s">
        <v>23</v>
      </c>
      <c r="I205">
        <v>19</v>
      </c>
      <c r="J205">
        <v>2</v>
      </c>
      <c r="K205" t="s">
        <v>27</v>
      </c>
      <c r="L205">
        <v>1</v>
      </c>
      <c r="M205">
        <v>281</v>
      </c>
      <c r="O205">
        <v>3</v>
      </c>
      <c r="P205">
        <v>2</v>
      </c>
      <c r="Q205" t="s">
        <v>26</v>
      </c>
      <c r="R205">
        <v>4</v>
      </c>
      <c r="S205">
        <v>2741</v>
      </c>
      <c r="T205" t="s">
        <v>16</v>
      </c>
    </row>
    <row r="206" spans="1:20" x14ac:dyDescent="0.25">
      <c r="A206">
        <v>38</v>
      </c>
      <c r="B206" t="str">
        <f t="shared" si="3"/>
        <v>35-44</v>
      </c>
      <c r="C206" t="s">
        <v>16</v>
      </c>
      <c r="F206" t="s">
        <v>17</v>
      </c>
      <c r="G206">
        <v>1180</v>
      </c>
      <c r="H206" t="s">
        <v>23</v>
      </c>
      <c r="I206">
        <v>29</v>
      </c>
      <c r="J206">
        <v>1</v>
      </c>
      <c r="K206" t="s">
        <v>27</v>
      </c>
      <c r="L206">
        <v>1</v>
      </c>
      <c r="M206">
        <v>282</v>
      </c>
      <c r="O206">
        <v>2</v>
      </c>
      <c r="P206">
        <v>2</v>
      </c>
      <c r="Q206" t="s">
        <v>29</v>
      </c>
      <c r="R206">
        <v>1</v>
      </c>
      <c r="S206">
        <v>6673</v>
      </c>
      <c r="T206" t="s">
        <v>16</v>
      </c>
    </row>
    <row r="207" spans="1:20" x14ac:dyDescent="0.25">
      <c r="A207">
        <v>29</v>
      </c>
      <c r="B207" t="str">
        <f t="shared" si="3"/>
        <v>25-34</v>
      </c>
      <c r="C207" t="s">
        <v>16</v>
      </c>
      <c r="F207" t="s">
        <v>17</v>
      </c>
      <c r="G207">
        <v>121</v>
      </c>
      <c r="H207" t="s">
        <v>18</v>
      </c>
      <c r="I207">
        <v>27</v>
      </c>
      <c r="J207">
        <v>3</v>
      </c>
      <c r="K207" t="s">
        <v>34</v>
      </c>
      <c r="L207">
        <v>1</v>
      </c>
      <c r="M207">
        <v>283</v>
      </c>
      <c r="O207">
        <v>2</v>
      </c>
      <c r="P207">
        <v>3</v>
      </c>
      <c r="Q207" t="s">
        <v>20</v>
      </c>
      <c r="R207">
        <v>4</v>
      </c>
      <c r="S207">
        <v>7639</v>
      </c>
      <c r="T207" t="s">
        <v>21</v>
      </c>
    </row>
    <row r="208" spans="1:20" x14ac:dyDescent="0.25">
      <c r="A208">
        <v>22</v>
      </c>
      <c r="B208" t="str">
        <f t="shared" si="3"/>
        <v>18-24</v>
      </c>
      <c r="C208" t="s">
        <v>21</v>
      </c>
      <c r="F208" t="s">
        <v>17</v>
      </c>
      <c r="G208">
        <v>1136</v>
      </c>
      <c r="H208" t="s">
        <v>23</v>
      </c>
      <c r="I208">
        <v>5</v>
      </c>
      <c r="J208">
        <v>3</v>
      </c>
      <c r="K208" t="s">
        <v>19</v>
      </c>
      <c r="L208">
        <v>1</v>
      </c>
      <c r="M208">
        <v>284</v>
      </c>
      <c r="O208">
        <v>4</v>
      </c>
      <c r="P208">
        <v>1</v>
      </c>
      <c r="Q208" t="s">
        <v>24</v>
      </c>
      <c r="R208">
        <v>2</v>
      </c>
      <c r="S208">
        <v>2328</v>
      </c>
      <c r="T208" t="s">
        <v>16</v>
      </c>
    </row>
    <row r="209" spans="1:20" x14ac:dyDescent="0.25">
      <c r="A209">
        <v>36</v>
      </c>
      <c r="B209" t="str">
        <f t="shared" si="3"/>
        <v>35-44</v>
      </c>
      <c r="C209" t="s">
        <v>21</v>
      </c>
      <c r="F209" t="s">
        <v>22</v>
      </c>
      <c r="G209">
        <v>635</v>
      </c>
      <c r="H209" t="s">
        <v>23</v>
      </c>
      <c r="I209">
        <v>18</v>
      </c>
      <c r="J209">
        <v>1</v>
      </c>
      <c r="K209" t="s">
        <v>27</v>
      </c>
      <c r="L209">
        <v>1</v>
      </c>
      <c r="M209">
        <v>286</v>
      </c>
      <c r="O209">
        <v>2</v>
      </c>
      <c r="P209">
        <v>1</v>
      </c>
      <c r="Q209" t="s">
        <v>26</v>
      </c>
      <c r="R209">
        <v>4</v>
      </c>
      <c r="S209">
        <v>2153</v>
      </c>
      <c r="T209" t="s">
        <v>21</v>
      </c>
    </row>
    <row r="210" spans="1:20" x14ac:dyDescent="0.25">
      <c r="A210">
        <v>40</v>
      </c>
      <c r="B210" t="str">
        <f t="shared" si="3"/>
        <v>35-44</v>
      </c>
      <c r="C210" t="s">
        <v>21</v>
      </c>
      <c r="F210" t="s">
        <v>30</v>
      </c>
      <c r="G210">
        <v>1151</v>
      </c>
      <c r="H210" t="s">
        <v>23</v>
      </c>
      <c r="I210">
        <v>9</v>
      </c>
      <c r="J210">
        <v>5</v>
      </c>
      <c r="K210" t="s">
        <v>19</v>
      </c>
      <c r="L210">
        <v>1</v>
      </c>
      <c r="M210">
        <v>287</v>
      </c>
      <c r="O210">
        <v>4</v>
      </c>
      <c r="P210">
        <v>2</v>
      </c>
      <c r="Q210" t="s">
        <v>29</v>
      </c>
      <c r="R210">
        <v>4</v>
      </c>
      <c r="S210">
        <v>4876</v>
      </c>
      <c r="T210" t="s">
        <v>21</v>
      </c>
    </row>
    <row r="211" spans="1:20" x14ac:dyDescent="0.25">
      <c r="A211">
        <v>46</v>
      </c>
      <c r="B211" t="str">
        <f t="shared" si="3"/>
        <v>45-54</v>
      </c>
      <c r="C211" t="s">
        <v>21</v>
      </c>
      <c r="F211" t="s">
        <v>17</v>
      </c>
      <c r="G211">
        <v>644</v>
      </c>
      <c r="H211" t="s">
        <v>23</v>
      </c>
      <c r="I211">
        <v>1</v>
      </c>
      <c r="J211">
        <v>4</v>
      </c>
      <c r="K211" t="s">
        <v>27</v>
      </c>
      <c r="L211">
        <v>1</v>
      </c>
      <c r="M211">
        <v>288</v>
      </c>
      <c r="O211">
        <v>4</v>
      </c>
      <c r="P211">
        <v>3</v>
      </c>
      <c r="Q211" t="s">
        <v>29</v>
      </c>
      <c r="R211">
        <v>1</v>
      </c>
      <c r="S211">
        <v>9396</v>
      </c>
      <c r="T211" t="s">
        <v>21</v>
      </c>
    </row>
    <row r="212" spans="1:20" x14ac:dyDescent="0.25">
      <c r="A212">
        <v>32</v>
      </c>
      <c r="B212" t="str">
        <f t="shared" si="3"/>
        <v>25-34</v>
      </c>
      <c r="C212" t="s">
        <v>16</v>
      </c>
      <c r="F212" t="s">
        <v>17</v>
      </c>
      <c r="G212">
        <v>1045</v>
      </c>
      <c r="H212" t="s">
        <v>18</v>
      </c>
      <c r="I212">
        <v>4</v>
      </c>
      <c r="J212">
        <v>4</v>
      </c>
      <c r="K212" t="s">
        <v>27</v>
      </c>
      <c r="L212">
        <v>1</v>
      </c>
      <c r="M212">
        <v>291</v>
      </c>
      <c r="O212">
        <v>4</v>
      </c>
      <c r="P212">
        <v>3</v>
      </c>
      <c r="Q212" t="s">
        <v>20</v>
      </c>
      <c r="R212">
        <v>4</v>
      </c>
      <c r="S212">
        <v>10400</v>
      </c>
      <c r="T212" t="s">
        <v>21</v>
      </c>
    </row>
    <row r="213" spans="1:20" x14ac:dyDescent="0.25">
      <c r="A213">
        <v>30</v>
      </c>
      <c r="B213" t="str">
        <f t="shared" si="3"/>
        <v>25-34</v>
      </c>
      <c r="C213" t="s">
        <v>21</v>
      </c>
      <c r="F213" t="s">
        <v>30</v>
      </c>
      <c r="G213">
        <v>829</v>
      </c>
      <c r="H213" t="s">
        <v>23</v>
      </c>
      <c r="I213">
        <v>1</v>
      </c>
      <c r="J213">
        <v>1</v>
      </c>
      <c r="K213" t="s">
        <v>19</v>
      </c>
      <c r="L213">
        <v>1</v>
      </c>
      <c r="M213">
        <v>292</v>
      </c>
      <c r="O213">
        <v>3</v>
      </c>
      <c r="P213">
        <v>3</v>
      </c>
      <c r="Q213" t="s">
        <v>28</v>
      </c>
      <c r="R213">
        <v>3</v>
      </c>
      <c r="S213">
        <v>8474</v>
      </c>
      <c r="T213" t="s">
        <v>21</v>
      </c>
    </row>
    <row r="214" spans="1:20" x14ac:dyDescent="0.25">
      <c r="A214">
        <v>27</v>
      </c>
      <c r="B214" t="str">
        <f t="shared" si="3"/>
        <v>25-34</v>
      </c>
      <c r="C214" t="s">
        <v>21</v>
      </c>
      <c r="F214" t="s">
        <v>22</v>
      </c>
      <c r="G214">
        <v>1242</v>
      </c>
      <c r="H214" t="s">
        <v>18</v>
      </c>
      <c r="I214">
        <v>20</v>
      </c>
      <c r="J214">
        <v>3</v>
      </c>
      <c r="K214" t="s">
        <v>19</v>
      </c>
      <c r="L214">
        <v>1</v>
      </c>
      <c r="M214">
        <v>293</v>
      </c>
      <c r="O214">
        <v>4</v>
      </c>
      <c r="P214">
        <v>2</v>
      </c>
      <c r="Q214" t="s">
        <v>20</v>
      </c>
      <c r="R214">
        <v>3</v>
      </c>
      <c r="S214">
        <v>9981</v>
      </c>
      <c r="T214" t="s">
        <v>21</v>
      </c>
    </row>
    <row r="215" spans="1:20" x14ac:dyDescent="0.25">
      <c r="A215">
        <v>51</v>
      </c>
      <c r="B215" t="str">
        <f t="shared" si="3"/>
        <v>45-54</v>
      </c>
      <c r="C215" t="s">
        <v>21</v>
      </c>
      <c r="F215" t="s">
        <v>17</v>
      </c>
      <c r="G215">
        <v>1469</v>
      </c>
      <c r="H215" t="s">
        <v>23</v>
      </c>
      <c r="I215">
        <v>8</v>
      </c>
      <c r="J215">
        <v>4</v>
      </c>
      <c r="K215" t="s">
        <v>19</v>
      </c>
      <c r="L215">
        <v>1</v>
      </c>
      <c r="M215">
        <v>296</v>
      </c>
      <c r="O215">
        <v>2</v>
      </c>
      <c r="P215">
        <v>3</v>
      </c>
      <c r="Q215" t="s">
        <v>33</v>
      </c>
      <c r="R215">
        <v>2</v>
      </c>
      <c r="S215">
        <v>12490</v>
      </c>
      <c r="T215" t="s">
        <v>21</v>
      </c>
    </row>
    <row r="216" spans="1:20" x14ac:dyDescent="0.25">
      <c r="A216">
        <v>30</v>
      </c>
      <c r="B216" t="str">
        <f t="shared" si="3"/>
        <v>25-34</v>
      </c>
      <c r="C216" t="s">
        <v>16</v>
      </c>
      <c r="F216" t="s">
        <v>17</v>
      </c>
      <c r="G216">
        <v>1005</v>
      </c>
      <c r="H216" t="s">
        <v>23</v>
      </c>
      <c r="I216">
        <v>3</v>
      </c>
      <c r="J216">
        <v>3</v>
      </c>
      <c r="K216" t="s">
        <v>35</v>
      </c>
      <c r="L216">
        <v>1</v>
      </c>
      <c r="M216">
        <v>297</v>
      </c>
      <c r="O216">
        <v>4</v>
      </c>
      <c r="P216">
        <v>1</v>
      </c>
      <c r="Q216" t="s">
        <v>24</v>
      </c>
      <c r="R216">
        <v>1</v>
      </c>
      <c r="S216">
        <v>2657</v>
      </c>
      <c r="T216" t="s">
        <v>16</v>
      </c>
    </row>
    <row r="217" spans="1:20" x14ac:dyDescent="0.25">
      <c r="A217">
        <v>41</v>
      </c>
      <c r="B217" t="str">
        <f t="shared" si="3"/>
        <v>35-44</v>
      </c>
      <c r="C217" t="s">
        <v>21</v>
      </c>
      <c r="F217" t="s">
        <v>17</v>
      </c>
      <c r="G217">
        <v>896</v>
      </c>
      <c r="H217" t="s">
        <v>18</v>
      </c>
      <c r="I217">
        <v>6</v>
      </c>
      <c r="J217">
        <v>3</v>
      </c>
      <c r="K217" t="s">
        <v>19</v>
      </c>
      <c r="L217">
        <v>1</v>
      </c>
      <c r="M217">
        <v>298</v>
      </c>
      <c r="O217">
        <v>4</v>
      </c>
      <c r="P217">
        <v>3</v>
      </c>
      <c r="Q217" t="s">
        <v>31</v>
      </c>
      <c r="R217">
        <v>4</v>
      </c>
      <c r="S217">
        <v>13591</v>
      </c>
      <c r="T217" t="s">
        <v>16</v>
      </c>
    </row>
    <row r="218" spans="1:20" x14ac:dyDescent="0.25">
      <c r="A218">
        <v>30</v>
      </c>
      <c r="B218" t="str">
        <f t="shared" si="3"/>
        <v>25-34</v>
      </c>
      <c r="C218" t="s">
        <v>16</v>
      </c>
      <c r="F218" t="s">
        <v>22</v>
      </c>
      <c r="G218">
        <v>334</v>
      </c>
      <c r="H218" t="s">
        <v>18</v>
      </c>
      <c r="I218">
        <v>26</v>
      </c>
      <c r="J218">
        <v>4</v>
      </c>
      <c r="K218" t="s">
        <v>34</v>
      </c>
      <c r="L218">
        <v>1</v>
      </c>
      <c r="M218">
        <v>299</v>
      </c>
      <c r="O218">
        <v>3</v>
      </c>
      <c r="P218">
        <v>2</v>
      </c>
      <c r="Q218" t="s">
        <v>20</v>
      </c>
      <c r="R218">
        <v>1</v>
      </c>
      <c r="S218">
        <v>6696</v>
      </c>
      <c r="T218" t="s">
        <v>21</v>
      </c>
    </row>
    <row r="219" spans="1:20" x14ac:dyDescent="0.25">
      <c r="A219">
        <v>29</v>
      </c>
      <c r="B219" t="str">
        <f t="shared" si="3"/>
        <v>25-34</v>
      </c>
      <c r="C219" t="s">
        <v>16</v>
      </c>
      <c r="F219" t="s">
        <v>17</v>
      </c>
      <c r="G219">
        <v>992</v>
      </c>
      <c r="H219" t="s">
        <v>23</v>
      </c>
      <c r="I219">
        <v>1</v>
      </c>
      <c r="J219">
        <v>3</v>
      </c>
      <c r="K219" t="s">
        <v>35</v>
      </c>
      <c r="L219">
        <v>1</v>
      </c>
      <c r="M219">
        <v>300</v>
      </c>
      <c r="O219">
        <v>3</v>
      </c>
      <c r="P219">
        <v>1</v>
      </c>
      <c r="Q219" t="s">
        <v>24</v>
      </c>
      <c r="R219">
        <v>3</v>
      </c>
      <c r="S219">
        <v>2058</v>
      </c>
      <c r="T219" t="s">
        <v>21</v>
      </c>
    </row>
    <row r="220" spans="1:20" x14ac:dyDescent="0.25">
      <c r="A220">
        <v>45</v>
      </c>
      <c r="B220" t="str">
        <f t="shared" si="3"/>
        <v>45-54</v>
      </c>
      <c r="C220" t="s">
        <v>21</v>
      </c>
      <c r="F220" t="s">
        <v>30</v>
      </c>
      <c r="G220">
        <v>1052</v>
      </c>
      <c r="H220" t="s">
        <v>18</v>
      </c>
      <c r="I220">
        <v>6</v>
      </c>
      <c r="J220">
        <v>3</v>
      </c>
      <c r="K220" t="s">
        <v>27</v>
      </c>
      <c r="L220">
        <v>1</v>
      </c>
      <c r="M220">
        <v>302</v>
      </c>
      <c r="O220">
        <v>4</v>
      </c>
      <c r="P220">
        <v>3</v>
      </c>
      <c r="Q220" t="s">
        <v>20</v>
      </c>
      <c r="R220">
        <v>4</v>
      </c>
      <c r="S220">
        <v>8865</v>
      </c>
      <c r="T220" t="s">
        <v>21</v>
      </c>
    </row>
    <row r="221" spans="1:20" x14ac:dyDescent="0.25">
      <c r="A221">
        <v>54</v>
      </c>
      <c r="B221" t="str">
        <f t="shared" si="3"/>
        <v>45-54</v>
      </c>
      <c r="C221" t="s">
        <v>21</v>
      </c>
      <c r="F221" t="s">
        <v>17</v>
      </c>
      <c r="G221">
        <v>1147</v>
      </c>
      <c r="H221" t="s">
        <v>18</v>
      </c>
      <c r="I221">
        <v>3</v>
      </c>
      <c r="J221">
        <v>3</v>
      </c>
      <c r="K221" t="s">
        <v>34</v>
      </c>
      <c r="L221">
        <v>1</v>
      </c>
      <c r="M221">
        <v>303</v>
      </c>
      <c r="O221">
        <v>4</v>
      </c>
      <c r="P221">
        <v>2</v>
      </c>
      <c r="Q221" t="s">
        <v>20</v>
      </c>
      <c r="R221">
        <v>1</v>
      </c>
      <c r="S221">
        <v>5940</v>
      </c>
      <c r="T221" t="s">
        <v>21</v>
      </c>
    </row>
    <row r="222" spans="1:20" x14ac:dyDescent="0.25">
      <c r="A222">
        <v>36</v>
      </c>
      <c r="B222" t="str">
        <f t="shared" si="3"/>
        <v>35-44</v>
      </c>
      <c r="C222" t="s">
        <v>21</v>
      </c>
      <c r="F222" t="s">
        <v>17</v>
      </c>
      <c r="G222">
        <v>1396</v>
      </c>
      <c r="H222" t="s">
        <v>23</v>
      </c>
      <c r="I222">
        <v>5</v>
      </c>
      <c r="J222">
        <v>2</v>
      </c>
      <c r="K222" t="s">
        <v>19</v>
      </c>
      <c r="L222">
        <v>1</v>
      </c>
      <c r="M222">
        <v>304</v>
      </c>
      <c r="O222">
        <v>4</v>
      </c>
      <c r="P222">
        <v>2</v>
      </c>
      <c r="Q222" t="s">
        <v>26</v>
      </c>
      <c r="R222">
        <v>2</v>
      </c>
      <c r="S222">
        <v>5914</v>
      </c>
      <c r="T222" t="s">
        <v>21</v>
      </c>
    </row>
    <row r="223" spans="1:20" x14ac:dyDescent="0.25">
      <c r="A223">
        <v>33</v>
      </c>
      <c r="B223" t="str">
        <f t="shared" si="3"/>
        <v>25-34</v>
      </c>
      <c r="C223" t="s">
        <v>21</v>
      </c>
      <c r="F223" t="s">
        <v>17</v>
      </c>
      <c r="G223">
        <v>147</v>
      </c>
      <c r="H223" t="s">
        <v>23</v>
      </c>
      <c r="I223">
        <v>4</v>
      </c>
      <c r="J223">
        <v>4</v>
      </c>
      <c r="K223" t="s">
        <v>27</v>
      </c>
      <c r="L223">
        <v>1</v>
      </c>
      <c r="M223">
        <v>305</v>
      </c>
      <c r="O223">
        <v>3</v>
      </c>
      <c r="P223">
        <v>1</v>
      </c>
      <c r="Q223" t="s">
        <v>24</v>
      </c>
      <c r="R223">
        <v>2</v>
      </c>
      <c r="S223">
        <v>2622</v>
      </c>
      <c r="T223" t="s">
        <v>21</v>
      </c>
    </row>
    <row r="224" spans="1:20" x14ac:dyDescent="0.25">
      <c r="A224">
        <v>37</v>
      </c>
      <c r="B224" t="str">
        <f t="shared" si="3"/>
        <v>35-44</v>
      </c>
      <c r="C224" t="s">
        <v>21</v>
      </c>
      <c r="F224" t="s">
        <v>22</v>
      </c>
      <c r="G224">
        <v>663</v>
      </c>
      <c r="H224" t="s">
        <v>23</v>
      </c>
      <c r="I224">
        <v>11</v>
      </c>
      <c r="J224">
        <v>3</v>
      </c>
      <c r="K224" t="s">
        <v>25</v>
      </c>
      <c r="L224">
        <v>1</v>
      </c>
      <c r="M224">
        <v>306</v>
      </c>
      <c r="O224">
        <v>2</v>
      </c>
      <c r="P224">
        <v>3</v>
      </c>
      <c r="Q224" t="s">
        <v>33</v>
      </c>
      <c r="R224">
        <v>4</v>
      </c>
      <c r="S224">
        <v>12185</v>
      </c>
      <c r="T224" t="s">
        <v>16</v>
      </c>
    </row>
    <row r="225" spans="1:20" x14ac:dyDescent="0.25">
      <c r="A225">
        <v>38</v>
      </c>
      <c r="B225" t="str">
        <f t="shared" si="3"/>
        <v>35-44</v>
      </c>
      <c r="C225" t="s">
        <v>21</v>
      </c>
      <c r="F225" t="s">
        <v>17</v>
      </c>
      <c r="G225">
        <v>119</v>
      </c>
      <c r="H225" t="s">
        <v>18</v>
      </c>
      <c r="I225">
        <v>3</v>
      </c>
      <c r="J225">
        <v>3</v>
      </c>
      <c r="K225" t="s">
        <v>19</v>
      </c>
      <c r="L225">
        <v>1</v>
      </c>
      <c r="M225">
        <v>307</v>
      </c>
      <c r="O225">
        <v>1</v>
      </c>
      <c r="P225">
        <v>3</v>
      </c>
      <c r="Q225" t="s">
        <v>20</v>
      </c>
      <c r="R225">
        <v>3</v>
      </c>
      <c r="S225">
        <v>10609</v>
      </c>
      <c r="T225" t="s">
        <v>21</v>
      </c>
    </row>
    <row r="226" spans="1:20" x14ac:dyDescent="0.25">
      <c r="A226">
        <v>31</v>
      </c>
      <c r="B226" t="str">
        <f t="shared" si="3"/>
        <v>25-34</v>
      </c>
      <c r="C226" t="s">
        <v>21</v>
      </c>
      <c r="F226" t="s">
        <v>30</v>
      </c>
      <c r="G226">
        <v>979</v>
      </c>
      <c r="H226" t="s">
        <v>23</v>
      </c>
      <c r="I226">
        <v>1</v>
      </c>
      <c r="J226">
        <v>4</v>
      </c>
      <c r="K226" t="s">
        <v>27</v>
      </c>
      <c r="L226">
        <v>1</v>
      </c>
      <c r="M226">
        <v>308</v>
      </c>
      <c r="O226">
        <v>3</v>
      </c>
      <c r="P226">
        <v>2</v>
      </c>
      <c r="Q226" t="s">
        <v>28</v>
      </c>
      <c r="R226">
        <v>3</v>
      </c>
      <c r="S226">
        <v>4345</v>
      </c>
      <c r="T226" t="s">
        <v>21</v>
      </c>
    </row>
    <row r="227" spans="1:20" x14ac:dyDescent="0.25">
      <c r="A227">
        <v>59</v>
      </c>
      <c r="B227" t="str">
        <f t="shared" si="3"/>
        <v>55+</v>
      </c>
      <c r="C227" t="s">
        <v>21</v>
      </c>
      <c r="F227" t="s">
        <v>17</v>
      </c>
      <c r="G227">
        <v>142</v>
      </c>
      <c r="H227" t="s">
        <v>23</v>
      </c>
      <c r="I227">
        <v>3</v>
      </c>
      <c r="J227">
        <v>3</v>
      </c>
      <c r="K227" t="s">
        <v>19</v>
      </c>
      <c r="L227">
        <v>1</v>
      </c>
      <c r="M227">
        <v>309</v>
      </c>
      <c r="O227">
        <v>3</v>
      </c>
      <c r="P227">
        <v>1</v>
      </c>
      <c r="Q227" t="s">
        <v>24</v>
      </c>
      <c r="R227">
        <v>4</v>
      </c>
      <c r="S227">
        <v>2177</v>
      </c>
      <c r="T227" t="s">
        <v>21</v>
      </c>
    </row>
    <row r="228" spans="1:20" x14ac:dyDescent="0.25">
      <c r="A228">
        <v>37</v>
      </c>
      <c r="B228" t="str">
        <f t="shared" si="3"/>
        <v>35-44</v>
      </c>
      <c r="C228" t="s">
        <v>21</v>
      </c>
      <c r="F228" t="s">
        <v>22</v>
      </c>
      <c r="G228">
        <v>319</v>
      </c>
      <c r="H228" t="s">
        <v>18</v>
      </c>
      <c r="I228">
        <v>4</v>
      </c>
      <c r="J228">
        <v>4</v>
      </c>
      <c r="K228" t="s">
        <v>34</v>
      </c>
      <c r="L228">
        <v>1</v>
      </c>
      <c r="M228">
        <v>311</v>
      </c>
      <c r="O228">
        <v>1</v>
      </c>
      <c r="P228">
        <v>1</v>
      </c>
      <c r="Q228" t="s">
        <v>32</v>
      </c>
      <c r="R228">
        <v>4</v>
      </c>
      <c r="S228">
        <v>2793</v>
      </c>
      <c r="T228" t="s">
        <v>21</v>
      </c>
    </row>
    <row r="229" spans="1:20" x14ac:dyDescent="0.25">
      <c r="A229">
        <v>29</v>
      </c>
      <c r="B229" t="str">
        <f t="shared" si="3"/>
        <v>25-34</v>
      </c>
      <c r="C229" t="s">
        <v>21</v>
      </c>
      <c r="F229" t="s">
        <v>22</v>
      </c>
      <c r="G229">
        <v>1413</v>
      </c>
      <c r="H229" t="s">
        <v>18</v>
      </c>
      <c r="I229">
        <v>1</v>
      </c>
      <c r="J229">
        <v>1</v>
      </c>
      <c r="K229" t="s">
        <v>27</v>
      </c>
      <c r="L229">
        <v>1</v>
      </c>
      <c r="M229">
        <v>312</v>
      </c>
      <c r="O229">
        <v>2</v>
      </c>
      <c r="P229">
        <v>3</v>
      </c>
      <c r="Q229" t="s">
        <v>20</v>
      </c>
      <c r="R229">
        <v>4</v>
      </c>
      <c r="S229">
        <v>7918</v>
      </c>
      <c r="T229" t="s">
        <v>21</v>
      </c>
    </row>
    <row r="230" spans="1:20" x14ac:dyDescent="0.25">
      <c r="A230">
        <v>35</v>
      </c>
      <c r="B230" t="str">
        <f t="shared" si="3"/>
        <v>35-44</v>
      </c>
      <c r="C230" t="s">
        <v>21</v>
      </c>
      <c r="F230" t="s">
        <v>22</v>
      </c>
      <c r="G230">
        <v>944</v>
      </c>
      <c r="H230" t="s">
        <v>18</v>
      </c>
      <c r="I230">
        <v>1</v>
      </c>
      <c r="J230">
        <v>3</v>
      </c>
      <c r="K230" t="s">
        <v>34</v>
      </c>
      <c r="L230">
        <v>1</v>
      </c>
      <c r="M230">
        <v>314</v>
      </c>
      <c r="O230">
        <v>3</v>
      </c>
      <c r="P230">
        <v>3</v>
      </c>
      <c r="Q230" t="s">
        <v>20</v>
      </c>
      <c r="R230">
        <v>3</v>
      </c>
      <c r="S230">
        <v>8789</v>
      </c>
      <c r="T230" t="s">
        <v>21</v>
      </c>
    </row>
    <row r="231" spans="1:20" x14ac:dyDescent="0.25">
      <c r="A231">
        <v>29</v>
      </c>
      <c r="B231" t="str">
        <f t="shared" si="3"/>
        <v>25-34</v>
      </c>
      <c r="C231" t="s">
        <v>16</v>
      </c>
      <c r="F231" t="s">
        <v>17</v>
      </c>
      <c r="G231">
        <v>896</v>
      </c>
      <c r="H231" t="s">
        <v>23</v>
      </c>
      <c r="I231">
        <v>18</v>
      </c>
      <c r="J231">
        <v>1</v>
      </c>
      <c r="K231" t="s">
        <v>27</v>
      </c>
      <c r="L231">
        <v>1</v>
      </c>
      <c r="M231">
        <v>315</v>
      </c>
      <c r="O231">
        <v>3</v>
      </c>
      <c r="P231">
        <v>1</v>
      </c>
      <c r="Q231" t="s">
        <v>24</v>
      </c>
      <c r="R231">
        <v>4</v>
      </c>
      <c r="S231">
        <v>2389</v>
      </c>
      <c r="T231" t="s">
        <v>16</v>
      </c>
    </row>
    <row r="232" spans="1:20" x14ac:dyDescent="0.25">
      <c r="A232">
        <v>52</v>
      </c>
      <c r="B232" t="str">
        <f t="shared" si="3"/>
        <v>45-54</v>
      </c>
      <c r="C232" t="s">
        <v>21</v>
      </c>
      <c r="F232" t="s">
        <v>17</v>
      </c>
      <c r="G232">
        <v>1323</v>
      </c>
      <c r="H232" t="s">
        <v>23</v>
      </c>
      <c r="I232">
        <v>2</v>
      </c>
      <c r="J232">
        <v>3</v>
      </c>
      <c r="K232" t="s">
        <v>19</v>
      </c>
      <c r="L232">
        <v>1</v>
      </c>
      <c r="M232">
        <v>316</v>
      </c>
      <c r="O232">
        <v>3</v>
      </c>
      <c r="P232">
        <v>1</v>
      </c>
      <c r="Q232" t="s">
        <v>26</v>
      </c>
      <c r="R232">
        <v>4</v>
      </c>
      <c r="S232">
        <v>3212</v>
      </c>
      <c r="T232" t="s">
        <v>21</v>
      </c>
    </row>
    <row r="233" spans="1:20" x14ac:dyDescent="0.25">
      <c r="A233">
        <v>42</v>
      </c>
      <c r="B233" t="str">
        <f t="shared" si="3"/>
        <v>35-44</v>
      </c>
      <c r="C233" t="s">
        <v>21</v>
      </c>
      <c r="F233" t="s">
        <v>17</v>
      </c>
      <c r="G233">
        <v>532</v>
      </c>
      <c r="H233" t="s">
        <v>23</v>
      </c>
      <c r="I233">
        <v>4</v>
      </c>
      <c r="J233">
        <v>2</v>
      </c>
      <c r="K233" t="s">
        <v>35</v>
      </c>
      <c r="L233">
        <v>1</v>
      </c>
      <c r="M233">
        <v>319</v>
      </c>
      <c r="O233">
        <v>3</v>
      </c>
      <c r="P233">
        <v>5</v>
      </c>
      <c r="Q233" t="s">
        <v>31</v>
      </c>
      <c r="R233">
        <v>4</v>
      </c>
      <c r="S233">
        <v>19232</v>
      </c>
      <c r="T233" t="s">
        <v>21</v>
      </c>
    </row>
    <row r="234" spans="1:20" x14ac:dyDescent="0.25">
      <c r="A234">
        <v>59</v>
      </c>
      <c r="B234" t="str">
        <f t="shared" si="3"/>
        <v>55+</v>
      </c>
      <c r="C234" t="s">
        <v>21</v>
      </c>
      <c r="F234" t="s">
        <v>17</v>
      </c>
      <c r="G234">
        <v>818</v>
      </c>
      <c r="H234" t="s">
        <v>36</v>
      </c>
      <c r="I234">
        <v>6</v>
      </c>
      <c r="J234">
        <v>2</v>
      </c>
      <c r="K234" t="s">
        <v>27</v>
      </c>
      <c r="L234">
        <v>1</v>
      </c>
      <c r="M234">
        <v>321</v>
      </c>
      <c r="O234">
        <v>2</v>
      </c>
      <c r="P234">
        <v>1</v>
      </c>
      <c r="Q234" t="s">
        <v>36</v>
      </c>
      <c r="R234">
        <v>3</v>
      </c>
      <c r="S234">
        <v>2267</v>
      </c>
      <c r="T234" t="s">
        <v>21</v>
      </c>
    </row>
    <row r="235" spans="1:20" x14ac:dyDescent="0.25">
      <c r="A235">
        <v>50</v>
      </c>
      <c r="B235" t="str">
        <f t="shared" si="3"/>
        <v>45-54</v>
      </c>
      <c r="C235" t="s">
        <v>21</v>
      </c>
      <c r="F235" t="s">
        <v>17</v>
      </c>
      <c r="G235">
        <v>854</v>
      </c>
      <c r="H235" t="s">
        <v>18</v>
      </c>
      <c r="I235">
        <v>1</v>
      </c>
      <c r="J235">
        <v>4</v>
      </c>
      <c r="K235" t="s">
        <v>27</v>
      </c>
      <c r="L235">
        <v>1</v>
      </c>
      <c r="M235">
        <v>323</v>
      </c>
      <c r="O235">
        <v>4</v>
      </c>
      <c r="P235">
        <v>5</v>
      </c>
      <c r="Q235" t="s">
        <v>31</v>
      </c>
      <c r="R235">
        <v>4</v>
      </c>
      <c r="S235">
        <v>19517</v>
      </c>
      <c r="T235" t="s">
        <v>21</v>
      </c>
    </row>
    <row r="236" spans="1:20" x14ac:dyDescent="0.25">
      <c r="A236">
        <v>33</v>
      </c>
      <c r="B236" t="str">
        <f t="shared" si="3"/>
        <v>25-34</v>
      </c>
      <c r="C236" t="s">
        <v>16</v>
      </c>
      <c r="F236" t="s">
        <v>17</v>
      </c>
      <c r="G236">
        <v>813</v>
      </c>
      <c r="H236" t="s">
        <v>23</v>
      </c>
      <c r="I236">
        <v>14</v>
      </c>
      <c r="J236">
        <v>3</v>
      </c>
      <c r="K236" t="s">
        <v>27</v>
      </c>
      <c r="L236">
        <v>1</v>
      </c>
      <c r="M236">
        <v>325</v>
      </c>
      <c r="O236">
        <v>3</v>
      </c>
      <c r="P236">
        <v>1</v>
      </c>
      <c r="Q236" t="s">
        <v>26</v>
      </c>
      <c r="R236">
        <v>4</v>
      </c>
      <c r="S236">
        <v>2436</v>
      </c>
      <c r="T236" t="s">
        <v>16</v>
      </c>
    </row>
    <row r="237" spans="1:20" x14ac:dyDescent="0.25">
      <c r="A237">
        <v>43</v>
      </c>
      <c r="B237" t="str">
        <f t="shared" si="3"/>
        <v>35-44</v>
      </c>
      <c r="C237" t="s">
        <v>21</v>
      </c>
      <c r="F237" t="s">
        <v>17</v>
      </c>
      <c r="G237">
        <v>1034</v>
      </c>
      <c r="H237" t="s">
        <v>18</v>
      </c>
      <c r="I237">
        <v>16</v>
      </c>
      <c r="J237">
        <v>3</v>
      </c>
      <c r="K237" t="s">
        <v>34</v>
      </c>
      <c r="L237">
        <v>1</v>
      </c>
      <c r="M237">
        <v>327</v>
      </c>
      <c r="O237">
        <v>4</v>
      </c>
      <c r="P237">
        <v>4</v>
      </c>
      <c r="Q237" t="s">
        <v>31</v>
      </c>
      <c r="R237">
        <v>4</v>
      </c>
      <c r="S237">
        <v>16064</v>
      </c>
      <c r="T237" t="s">
        <v>16</v>
      </c>
    </row>
    <row r="238" spans="1:20" x14ac:dyDescent="0.25">
      <c r="A238">
        <v>33</v>
      </c>
      <c r="B238" t="str">
        <f t="shared" si="3"/>
        <v>25-34</v>
      </c>
      <c r="C238" t="s">
        <v>16</v>
      </c>
      <c r="F238" t="s">
        <v>17</v>
      </c>
      <c r="G238">
        <v>465</v>
      </c>
      <c r="H238" t="s">
        <v>23</v>
      </c>
      <c r="I238">
        <v>2</v>
      </c>
      <c r="J238">
        <v>2</v>
      </c>
      <c r="K238" t="s">
        <v>19</v>
      </c>
      <c r="L238">
        <v>1</v>
      </c>
      <c r="M238">
        <v>328</v>
      </c>
      <c r="O238">
        <v>1</v>
      </c>
      <c r="P238">
        <v>1</v>
      </c>
      <c r="Q238" t="s">
        <v>26</v>
      </c>
      <c r="R238">
        <v>1</v>
      </c>
      <c r="S238">
        <v>2707</v>
      </c>
      <c r="T238" t="s">
        <v>21</v>
      </c>
    </row>
    <row r="239" spans="1:20" x14ac:dyDescent="0.25">
      <c r="A239">
        <v>52</v>
      </c>
      <c r="B239" t="str">
        <f t="shared" si="3"/>
        <v>45-54</v>
      </c>
      <c r="C239" t="s">
        <v>21</v>
      </c>
      <c r="F239" t="s">
        <v>30</v>
      </c>
      <c r="G239">
        <v>771</v>
      </c>
      <c r="H239" t="s">
        <v>18</v>
      </c>
      <c r="I239">
        <v>2</v>
      </c>
      <c r="J239">
        <v>4</v>
      </c>
      <c r="K239" t="s">
        <v>19</v>
      </c>
      <c r="L239">
        <v>1</v>
      </c>
      <c r="M239">
        <v>329</v>
      </c>
      <c r="O239">
        <v>1</v>
      </c>
      <c r="P239">
        <v>5</v>
      </c>
      <c r="Q239" t="s">
        <v>31</v>
      </c>
      <c r="R239">
        <v>3</v>
      </c>
      <c r="S239">
        <v>19068</v>
      </c>
      <c r="T239" t="s">
        <v>16</v>
      </c>
    </row>
    <row r="240" spans="1:20" x14ac:dyDescent="0.25">
      <c r="A240">
        <v>32</v>
      </c>
      <c r="B240" t="str">
        <f t="shared" si="3"/>
        <v>25-34</v>
      </c>
      <c r="C240" t="s">
        <v>21</v>
      </c>
      <c r="F240" t="s">
        <v>17</v>
      </c>
      <c r="G240">
        <v>1401</v>
      </c>
      <c r="H240" t="s">
        <v>18</v>
      </c>
      <c r="I240">
        <v>4</v>
      </c>
      <c r="J240">
        <v>2</v>
      </c>
      <c r="K240" t="s">
        <v>19</v>
      </c>
      <c r="L240">
        <v>1</v>
      </c>
      <c r="M240">
        <v>330</v>
      </c>
      <c r="O240">
        <v>3</v>
      </c>
      <c r="P240">
        <v>1</v>
      </c>
      <c r="Q240" t="s">
        <v>32</v>
      </c>
      <c r="R240">
        <v>2</v>
      </c>
      <c r="S240">
        <v>3931</v>
      </c>
      <c r="T240" t="s">
        <v>21</v>
      </c>
    </row>
    <row r="241" spans="1:20" x14ac:dyDescent="0.25">
      <c r="A241">
        <v>32</v>
      </c>
      <c r="B241" t="str">
        <f t="shared" si="3"/>
        <v>25-34</v>
      </c>
      <c r="C241" t="s">
        <v>16</v>
      </c>
      <c r="F241" t="s">
        <v>17</v>
      </c>
      <c r="G241">
        <v>515</v>
      </c>
      <c r="H241" t="s">
        <v>23</v>
      </c>
      <c r="I241">
        <v>1</v>
      </c>
      <c r="J241">
        <v>3</v>
      </c>
      <c r="K241" t="s">
        <v>19</v>
      </c>
      <c r="L241">
        <v>1</v>
      </c>
      <c r="M241">
        <v>331</v>
      </c>
      <c r="O241">
        <v>4</v>
      </c>
      <c r="P241">
        <v>1</v>
      </c>
      <c r="Q241" t="s">
        <v>26</v>
      </c>
      <c r="R241">
        <v>3</v>
      </c>
      <c r="S241">
        <v>3730</v>
      </c>
      <c r="T241" t="s">
        <v>16</v>
      </c>
    </row>
    <row r="242" spans="1:20" x14ac:dyDescent="0.25">
      <c r="A242">
        <v>39</v>
      </c>
      <c r="B242" t="str">
        <f t="shared" si="3"/>
        <v>35-44</v>
      </c>
      <c r="C242" t="s">
        <v>21</v>
      </c>
      <c r="F242" t="s">
        <v>17</v>
      </c>
      <c r="G242">
        <v>1431</v>
      </c>
      <c r="H242" t="s">
        <v>23</v>
      </c>
      <c r="I242">
        <v>1</v>
      </c>
      <c r="J242">
        <v>4</v>
      </c>
      <c r="K242" t="s">
        <v>27</v>
      </c>
      <c r="L242">
        <v>1</v>
      </c>
      <c r="M242">
        <v>332</v>
      </c>
      <c r="O242">
        <v>3</v>
      </c>
      <c r="P242">
        <v>1</v>
      </c>
      <c r="Q242" t="s">
        <v>26</v>
      </c>
      <c r="R242">
        <v>3</v>
      </c>
      <c r="S242">
        <v>2232</v>
      </c>
      <c r="T242" t="s">
        <v>21</v>
      </c>
    </row>
    <row r="243" spans="1:20" x14ac:dyDescent="0.25">
      <c r="A243">
        <v>32</v>
      </c>
      <c r="B243" t="str">
        <f t="shared" si="3"/>
        <v>25-34</v>
      </c>
      <c r="C243" t="s">
        <v>21</v>
      </c>
      <c r="F243" t="s">
        <v>30</v>
      </c>
      <c r="G243">
        <v>976</v>
      </c>
      <c r="H243" t="s">
        <v>18</v>
      </c>
      <c r="I243">
        <v>26</v>
      </c>
      <c r="J243">
        <v>4</v>
      </c>
      <c r="K243" t="s">
        <v>34</v>
      </c>
      <c r="L243">
        <v>1</v>
      </c>
      <c r="M243">
        <v>333</v>
      </c>
      <c r="O243">
        <v>3</v>
      </c>
      <c r="P243">
        <v>2</v>
      </c>
      <c r="Q243" t="s">
        <v>20</v>
      </c>
      <c r="R243">
        <v>4</v>
      </c>
      <c r="S243">
        <v>4465</v>
      </c>
      <c r="T243" t="s">
        <v>21</v>
      </c>
    </row>
    <row r="244" spans="1:20" x14ac:dyDescent="0.25">
      <c r="A244">
        <v>41</v>
      </c>
      <c r="B244" t="str">
        <f t="shared" si="3"/>
        <v>35-44</v>
      </c>
      <c r="C244" t="s">
        <v>21</v>
      </c>
      <c r="F244" t="s">
        <v>17</v>
      </c>
      <c r="G244">
        <v>1411</v>
      </c>
      <c r="H244" t="s">
        <v>23</v>
      </c>
      <c r="I244">
        <v>19</v>
      </c>
      <c r="J244">
        <v>2</v>
      </c>
      <c r="K244" t="s">
        <v>19</v>
      </c>
      <c r="L244">
        <v>1</v>
      </c>
      <c r="M244">
        <v>334</v>
      </c>
      <c r="O244">
        <v>3</v>
      </c>
      <c r="P244">
        <v>2</v>
      </c>
      <c r="Q244" t="s">
        <v>24</v>
      </c>
      <c r="R244">
        <v>1</v>
      </c>
      <c r="S244">
        <v>3072</v>
      </c>
      <c r="T244" t="s">
        <v>21</v>
      </c>
    </row>
    <row r="245" spans="1:20" x14ac:dyDescent="0.25">
      <c r="A245">
        <v>40</v>
      </c>
      <c r="B245" t="str">
        <f t="shared" si="3"/>
        <v>35-44</v>
      </c>
      <c r="C245" t="s">
        <v>21</v>
      </c>
      <c r="F245" t="s">
        <v>17</v>
      </c>
      <c r="G245">
        <v>1300</v>
      </c>
      <c r="H245" t="s">
        <v>23</v>
      </c>
      <c r="I245">
        <v>24</v>
      </c>
      <c r="J245">
        <v>2</v>
      </c>
      <c r="K245" t="s">
        <v>35</v>
      </c>
      <c r="L245">
        <v>1</v>
      </c>
      <c r="M245">
        <v>335</v>
      </c>
      <c r="O245">
        <v>1</v>
      </c>
      <c r="P245">
        <v>2</v>
      </c>
      <c r="Q245" t="s">
        <v>24</v>
      </c>
      <c r="R245">
        <v>4</v>
      </c>
      <c r="S245">
        <v>3319</v>
      </c>
      <c r="T245" t="s">
        <v>21</v>
      </c>
    </row>
    <row r="246" spans="1:20" x14ac:dyDescent="0.25">
      <c r="A246">
        <v>45</v>
      </c>
      <c r="B246" t="str">
        <f t="shared" si="3"/>
        <v>45-54</v>
      </c>
      <c r="C246" t="s">
        <v>21</v>
      </c>
      <c r="F246" t="s">
        <v>17</v>
      </c>
      <c r="G246">
        <v>252</v>
      </c>
      <c r="H246" t="s">
        <v>23</v>
      </c>
      <c r="I246">
        <v>1</v>
      </c>
      <c r="J246">
        <v>3</v>
      </c>
      <c r="K246" t="s">
        <v>25</v>
      </c>
      <c r="L246">
        <v>1</v>
      </c>
      <c r="M246">
        <v>336</v>
      </c>
      <c r="O246">
        <v>3</v>
      </c>
      <c r="P246">
        <v>5</v>
      </c>
      <c r="Q246" t="s">
        <v>31</v>
      </c>
      <c r="R246">
        <v>4</v>
      </c>
      <c r="S246">
        <v>19202</v>
      </c>
      <c r="T246" t="s">
        <v>21</v>
      </c>
    </row>
    <row r="247" spans="1:20" x14ac:dyDescent="0.25">
      <c r="A247">
        <v>31</v>
      </c>
      <c r="B247" t="str">
        <f t="shared" si="3"/>
        <v>25-34</v>
      </c>
      <c r="C247" t="s">
        <v>21</v>
      </c>
      <c r="F247" t="s">
        <v>22</v>
      </c>
      <c r="G247">
        <v>1327</v>
      </c>
      <c r="H247" t="s">
        <v>23</v>
      </c>
      <c r="I247">
        <v>3</v>
      </c>
      <c r="J247">
        <v>4</v>
      </c>
      <c r="K247" t="s">
        <v>27</v>
      </c>
      <c r="L247">
        <v>1</v>
      </c>
      <c r="M247">
        <v>337</v>
      </c>
      <c r="O247">
        <v>2</v>
      </c>
      <c r="P247">
        <v>3</v>
      </c>
      <c r="Q247" t="s">
        <v>33</v>
      </c>
      <c r="R247">
        <v>3</v>
      </c>
      <c r="S247">
        <v>13675</v>
      </c>
      <c r="T247" t="s">
        <v>21</v>
      </c>
    </row>
    <row r="248" spans="1:20" x14ac:dyDescent="0.25">
      <c r="A248">
        <v>33</v>
      </c>
      <c r="B248" t="str">
        <f t="shared" si="3"/>
        <v>25-34</v>
      </c>
      <c r="C248" t="s">
        <v>21</v>
      </c>
      <c r="F248" t="s">
        <v>17</v>
      </c>
      <c r="G248">
        <v>832</v>
      </c>
      <c r="H248" t="s">
        <v>23</v>
      </c>
      <c r="I248">
        <v>5</v>
      </c>
      <c r="J248">
        <v>4</v>
      </c>
      <c r="K248" t="s">
        <v>19</v>
      </c>
      <c r="L248">
        <v>1</v>
      </c>
      <c r="M248">
        <v>338</v>
      </c>
      <c r="O248">
        <v>3</v>
      </c>
      <c r="P248">
        <v>1</v>
      </c>
      <c r="Q248" t="s">
        <v>24</v>
      </c>
      <c r="R248">
        <v>4</v>
      </c>
      <c r="S248">
        <v>2911</v>
      </c>
      <c r="T248" t="s">
        <v>21</v>
      </c>
    </row>
    <row r="249" spans="1:20" x14ac:dyDescent="0.25">
      <c r="A249">
        <v>34</v>
      </c>
      <c r="B249" t="str">
        <f t="shared" si="3"/>
        <v>25-34</v>
      </c>
      <c r="C249" t="s">
        <v>21</v>
      </c>
      <c r="F249" t="s">
        <v>17</v>
      </c>
      <c r="G249">
        <v>470</v>
      </c>
      <c r="H249" t="s">
        <v>23</v>
      </c>
      <c r="I249">
        <v>2</v>
      </c>
      <c r="J249">
        <v>4</v>
      </c>
      <c r="K249" t="s">
        <v>19</v>
      </c>
      <c r="L249">
        <v>1</v>
      </c>
      <c r="M249">
        <v>339</v>
      </c>
      <c r="O249">
        <v>4</v>
      </c>
      <c r="P249">
        <v>2</v>
      </c>
      <c r="Q249" t="s">
        <v>28</v>
      </c>
      <c r="R249">
        <v>1</v>
      </c>
      <c r="S249">
        <v>5957</v>
      </c>
      <c r="T249" t="s">
        <v>21</v>
      </c>
    </row>
    <row r="250" spans="1:20" x14ac:dyDescent="0.25">
      <c r="A250">
        <v>37</v>
      </c>
      <c r="B250" t="str">
        <f t="shared" si="3"/>
        <v>35-44</v>
      </c>
      <c r="C250" t="s">
        <v>21</v>
      </c>
      <c r="F250" t="s">
        <v>17</v>
      </c>
      <c r="G250">
        <v>1017</v>
      </c>
      <c r="H250" t="s">
        <v>23</v>
      </c>
      <c r="I250">
        <v>1</v>
      </c>
      <c r="J250">
        <v>2</v>
      </c>
      <c r="K250" t="s">
        <v>27</v>
      </c>
      <c r="L250">
        <v>1</v>
      </c>
      <c r="M250">
        <v>340</v>
      </c>
      <c r="O250">
        <v>3</v>
      </c>
      <c r="P250">
        <v>1</v>
      </c>
      <c r="Q250" t="s">
        <v>24</v>
      </c>
      <c r="R250">
        <v>1</v>
      </c>
      <c r="S250">
        <v>3920</v>
      </c>
      <c r="T250" t="s">
        <v>21</v>
      </c>
    </row>
    <row r="251" spans="1:20" x14ac:dyDescent="0.25">
      <c r="A251">
        <v>45</v>
      </c>
      <c r="B251" t="str">
        <f t="shared" si="3"/>
        <v>45-54</v>
      </c>
      <c r="C251" t="s">
        <v>21</v>
      </c>
      <c r="F251" t="s">
        <v>22</v>
      </c>
      <c r="G251">
        <v>1199</v>
      </c>
      <c r="H251" t="s">
        <v>23</v>
      </c>
      <c r="I251">
        <v>7</v>
      </c>
      <c r="J251">
        <v>4</v>
      </c>
      <c r="K251" t="s">
        <v>19</v>
      </c>
      <c r="L251">
        <v>1</v>
      </c>
      <c r="M251">
        <v>341</v>
      </c>
      <c r="O251">
        <v>1</v>
      </c>
      <c r="P251">
        <v>2</v>
      </c>
      <c r="Q251" t="s">
        <v>28</v>
      </c>
      <c r="R251">
        <v>3</v>
      </c>
      <c r="S251">
        <v>6434</v>
      </c>
      <c r="T251" t="s">
        <v>21</v>
      </c>
    </row>
    <row r="252" spans="1:20" x14ac:dyDescent="0.25">
      <c r="A252">
        <v>37</v>
      </c>
      <c r="B252" t="str">
        <f t="shared" si="3"/>
        <v>35-44</v>
      </c>
      <c r="C252" t="s">
        <v>16</v>
      </c>
      <c r="F252" t="s">
        <v>22</v>
      </c>
      <c r="G252">
        <v>504</v>
      </c>
      <c r="H252" t="s">
        <v>23</v>
      </c>
      <c r="I252">
        <v>10</v>
      </c>
      <c r="J252">
        <v>3</v>
      </c>
      <c r="K252" t="s">
        <v>27</v>
      </c>
      <c r="L252">
        <v>1</v>
      </c>
      <c r="M252">
        <v>342</v>
      </c>
      <c r="O252">
        <v>1</v>
      </c>
      <c r="P252">
        <v>3</v>
      </c>
      <c r="Q252" t="s">
        <v>28</v>
      </c>
      <c r="R252">
        <v>3</v>
      </c>
      <c r="S252">
        <v>10048</v>
      </c>
      <c r="T252" t="s">
        <v>21</v>
      </c>
    </row>
    <row r="253" spans="1:20" x14ac:dyDescent="0.25">
      <c r="A253">
        <v>39</v>
      </c>
      <c r="B253" t="str">
        <f t="shared" si="3"/>
        <v>35-44</v>
      </c>
      <c r="C253" t="s">
        <v>21</v>
      </c>
      <c r="F253" t="s">
        <v>22</v>
      </c>
      <c r="G253">
        <v>505</v>
      </c>
      <c r="H253" t="s">
        <v>23</v>
      </c>
      <c r="I253">
        <v>2</v>
      </c>
      <c r="J253">
        <v>4</v>
      </c>
      <c r="K253" t="s">
        <v>35</v>
      </c>
      <c r="L253">
        <v>1</v>
      </c>
      <c r="M253">
        <v>343</v>
      </c>
      <c r="O253">
        <v>3</v>
      </c>
      <c r="P253">
        <v>3</v>
      </c>
      <c r="Q253" t="s">
        <v>29</v>
      </c>
      <c r="R253">
        <v>3</v>
      </c>
      <c r="S253">
        <v>10938</v>
      </c>
      <c r="T253" t="s">
        <v>21</v>
      </c>
    </row>
    <row r="254" spans="1:20" x14ac:dyDescent="0.25">
      <c r="A254">
        <v>29</v>
      </c>
      <c r="B254" t="str">
        <f t="shared" si="3"/>
        <v>25-34</v>
      </c>
      <c r="C254" t="s">
        <v>21</v>
      </c>
      <c r="F254" t="s">
        <v>17</v>
      </c>
      <c r="G254">
        <v>665</v>
      </c>
      <c r="H254" t="s">
        <v>23</v>
      </c>
      <c r="I254">
        <v>15</v>
      </c>
      <c r="J254">
        <v>3</v>
      </c>
      <c r="K254" t="s">
        <v>19</v>
      </c>
      <c r="L254">
        <v>1</v>
      </c>
      <c r="M254">
        <v>346</v>
      </c>
      <c r="O254">
        <v>3</v>
      </c>
      <c r="P254">
        <v>1</v>
      </c>
      <c r="Q254" t="s">
        <v>24</v>
      </c>
      <c r="R254">
        <v>4</v>
      </c>
      <c r="S254">
        <v>2340</v>
      </c>
      <c r="T254" t="s">
        <v>21</v>
      </c>
    </row>
    <row r="255" spans="1:20" x14ac:dyDescent="0.25">
      <c r="A255">
        <v>42</v>
      </c>
      <c r="B255" t="str">
        <f t="shared" si="3"/>
        <v>35-44</v>
      </c>
      <c r="C255" t="s">
        <v>21</v>
      </c>
      <c r="F255" t="s">
        <v>17</v>
      </c>
      <c r="G255">
        <v>916</v>
      </c>
      <c r="H255" t="s">
        <v>23</v>
      </c>
      <c r="I255">
        <v>17</v>
      </c>
      <c r="J255">
        <v>2</v>
      </c>
      <c r="K255" t="s">
        <v>19</v>
      </c>
      <c r="L255">
        <v>1</v>
      </c>
      <c r="M255">
        <v>347</v>
      </c>
      <c r="O255">
        <v>4</v>
      </c>
      <c r="P255">
        <v>2</v>
      </c>
      <c r="Q255" t="s">
        <v>24</v>
      </c>
      <c r="R255">
        <v>1</v>
      </c>
      <c r="S255">
        <v>6545</v>
      </c>
      <c r="T255" t="s">
        <v>16</v>
      </c>
    </row>
    <row r="256" spans="1:20" x14ac:dyDescent="0.25">
      <c r="A256">
        <v>29</v>
      </c>
      <c r="B256" t="str">
        <f t="shared" si="3"/>
        <v>25-34</v>
      </c>
      <c r="C256" t="s">
        <v>21</v>
      </c>
      <c r="F256" t="s">
        <v>17</v>
      </c>
      <c r="G256">
        <v>1247</v>
      </c>
      <c r="H256" t="s">
        <v>18</v>
      </c>
      <c r="I256">
        <v>20</v>
      </c>
      <c r="J256">
        <v>2</v>
      </c>
      <c r="K256" t="s">
        <v>34</v>
      </c>
      <c r="L256">
        <v>1</v>
      </c>
      <c r="M256">
        <v>349</v>
      </c>
      <c r="O256">
        <v>4</v>
      </c>
      <c r="P256">
        <v>2</v>
      </c>
      <c r="Q256" t="s">
        <v>20</v>
      </c>
      <c r="R256">
        <v>4</v>
      </c>
      <c r="S256">
        <v>6931</v>
      </c>
      <c r="T256" t="s">
        <v>21</v>
      </c>
    </row>
    <row r="257" spans="1:20" x14ac:dyDescent="0.25">
      <c r="A257">
        <v>25</v>
      </c>
      <c r="B257" t="str">
        <f t="shared" si="3"/>
        <v>25-34</v>
      </c>
      <c r="C257" t="s">
        <v>21</v>
      </c>
      <c r="F257" t="s">
        <v>17</v>
      </c>
      <c r="G257">
        <v>685</v>
      </c>
      <c r="H257" t="s">
        <v>23</v>
      </c>
      <c r="I257">
        <v>1</v>
      </c>
      <c r="J257">
        <v>3</v>
      </c>
      <c r="K257" t="s">
        <v>19</v>
      </c>
      <c r="L257">
        <v>1</v>
      </c>
      <c r="M257">
        <v>350</v>
      </c>
      <c r="O257">
        <v>1</v>
      </c>
      <c r="P257">
        <v>2</v>
      </c>
      <c r="Q257" t="s">
        <v>28</v>
      </c>
      <c r="R257">
        <v>3</v>
      </c>
      <c r="S257">
        <v>4898</v>
      </c>
      <c r="T257" t="s">
        <v>21</v>
      </c>
    </row>
    <row r="258" spans="1:20" x14ac:dyDescent="0.25">
      <c r="A258">
        <v>42</v>
      </c>
      <c r="B258" t="str">
        <f t="shared" si="3"/>
        <v>35-44</v>
      </c>
      <c r="C258" t="s">
        <v>21</v>
      </c>
      <c r="F258" t="s">
        <v>17</v>
      </c>
      <c r="G258">
        <v>269</v>
      </c>
      <c r="H258" t="s">
        <v>23</v>
      </c>
      <c r="I258">
        <v>2</v>
      </c>
      <c r="J258">
        <v>3</v>
      </c>
      <c r="K258" t="s">
        <v>27</v>
      </c>
      <c r="L258">
        <v>1</v>
      </c>
      <c r="M258">
        <v>351</v>
      </c>
      <c r="O258">
        <v>4</v>
      </c>
      <c r="P258">
        <v>1</v>
      </c>
      <c r="Q258" t="s">
        <v>26</v>
      </c>
      <c r="R258">
        <v>1</v>
      </c>
      <c r="S258">
        <v>2593</v>
      </c>
      <c r="T258" t="s">
        <v>16</v>
      </c>
    </row>
    <row r="259" spans="1:20" x14ac:dyDescent="0.25">
      <c r="A259">
        <v>40</v>
      </c>
      <c r="B259" t="str">
        <f t="shared" ref="B259:B322" si="4">IF(A259&lt;=24,"18-24",IF(A259&lt;=34,"25-34",IF(A259&lt;=44,"35-44",IF(A259&lt;=54,"45-54","55+"))))</f>
        <v>35-44</v>
      </c>
      <c r="C259" t="s">
        <v>21</v>
      </c>
      <c r="F259" t="s">
        <v>17</v>
      </c>
      <c r="G259">
        <v>1416</v>
      </c>
      <c r="H259" t="s">
        <v>23</v>
      </c>
      <c r="I259">
        <v>2</v>
      </c>
      <c r="J259">
        <v>2</v>
      </c>
      <c r="K259" t="s">
        <v>27</v>
      </c>
      <c r="L259">
        <v>1</v>
      </c>
      <c r="M259">
        <v>352</v>
      </c>
      <c r="O259">
        <v>1</v>
      </c>
      <c r="P259">
        <v>5</v>
      </c>
      <c r="Q259" t="s">
        <v>33</v>
      </c>
      <c r="R259">
        <v>3</v>
      </c>
      <c r="S259">
        <v>19436</v>
      </c>
      <c r="T259" t="s">
        <v>21</v>
      </c>
    </row>
    <row r="260" spans="1:20" x14ac:dyDescent="0.25">
      <c r="A260">
        <v>51</v>
      </c>
      <c r="B260" t="str">
        <f t="shared" si="4"/>
        <v>45-54</v>
      </c>
      <c r="C260" t="s">
        <v>21</v>
      </c>
      <c r="F260" t="s">
        <v>17</v>
      </c>
      <c r="G260">
        <v>833</v>
      </c>
      <c r="H260" t="s">
        <v>23</v>
      </c>
      <c r="I260">
        <v>1</v>
      </c>
      <c r="J260">
        <v>3</v>
      </c>
      <c r="K260" t="s">
        <v>19</v>
      </c>
      <c r="L260">
        <v>1</v>
      </c>
      <c r="M260">
        <v>353</v>
      </c>
      <c r="O260">
        <v>3</v>
      </c>
      <c r="P260">
        <v>1</v>
      </c>
      <c r="Q260" t="s">
        <v>24</v>
      </c>
      <c r="R260">
        <v>4</v>
      </c>
      <c r="S260">
        <v>2723</v>
      </c>
      <c r="T260" t="s">
        <v>21</v>
      </c>
    </row>
    <row r="261" spans="1:20" x14ac:dyDescent="0.25">
      <c r="A261">
        <v>31</v>
      </c>
      <c r="B261" t="str">
        <f t="shared" si="4"/>
        <v>25-34</v>
      </c>
      <c r="C261" t="s">
        <v>16</v>
      </c>
      <c r="F261" t="s">
        <v>22</v>
      </c>
      <c r="G261">
        <v>307</v>
      </c>
      <c r="H261" t="s">
        <v>23</v>
      </c>
      <c r="I261">
        <v>29</v>
      </c>
      <c r="J261">
        <v>2</v>
      </c>
      <c r="K261" t="s">
        <v>27</v>
      </c>
      <c r="L261">
        <v>1</v>
      </c>
      <c r="M261">
        <v>355</v>
      </c>
      <c r="O261">
        <v>3</v>
      </c>
      <c r="P261">
        <v>1</v>
      </c>
      <c r="Q261" t="s">
        <v>26</v>
      </c>
      <c r="R261">
        <v>2</v>
      </c>
      <c r="S261">
        <v>3479</v>
      </c>
      <c r="T261" t="s">
        <v>21</v>
      </c>
    </row>
    <row r="262" spans="1:20" x14ac:dyDescent="0.25">
      <c r="A262">
        <v>32</v>
      </c>
      <c r="B262" t="str">
        <f t="shared" si="4"/>
        <v>25-34</v>
      </c>
      <c r="C262" t="s">
        <v>21</v>
      </c>
      <c r="F262" t="s">
        <v>22</v>
      </c>
      <c r="G262">
        <v>1311</v>
      </c>
      <c r="H262" t="s">
        <v>23</v>
      </c>
      <c r="I262">
        <v>7</v>
      </c>
      <c r="J262">
        <v>3</v>
      </c>
      <c r="K262" t="s">
        <v>19</v>
      </c>
      <c r="L262">
        <v>1</v>
      </c>
      <c r="M262">
        <v>359</v>
      </c>
      <c r="O262">
        <v>2</v>
      </c>
      <c r="P262">
        <v>1</v>
      </c>
      <c r="Q262" t="s">
        <v>26</v>
      </c>
      <c r="R262">
        <v>2</v>
      </c>
      <c r="S262">
        <v>2794</v>
      </c>
      <c r="T262" t="s">
        <v>21</v>
      </c>
    </row>
    <row r="263" spans="1:20" x14ac:dyDescent="0.25">
      <c r="A263">
        <v>38</v>
      </c>
      <c r="B263" t="str">
        <f t="shared" si="4"/>
        <v>35-44</v>
      </c>
      <c r="C263" t="s">
        <v>21</v>
      </c>
      <c r="F263" t="s">
        <v>30</v>
      </c>
      <c r="G263">
        <v>1327</v>
      </c>
      <c r="H263" t="s">
        <v>18</v>
      </c>
      <c r="I263">
        <v>2</v>
      </c>
      <c r="J263">
        <v>2</v>
      </c>
      <c r="K263" t="s">
        <v>19</v>
      </c>
      <c r="L263">
        <v>1</v>
      </c>
      <c r="M263">
        <v>361</v>
      </c>
      <c r="O263">
        <v>4</v>
      </c>
      <c r="P263">
        <v>2</v>
      </c>
      <c r="Q263" t="s">
        <v>20</v>
      </c>
      <c r="R263">
        <v>4</v>
      </c>
      <c r="S263">
        <v>5249</v>
      </c>
      <c r="T263" t="s">
        <v>21</v>
      </c>
    </row>
    <row r="264" spans="1:20" x14ac:dyDescent="0.25">
      <c r="A264">
        <v>32</v>
      </c>
      <c r="B264" t="str">
        <f t="shared" si="4"/>
        <v>25-34</v>
      </c>
      <c r="C264" t="s">
        <v>21</v>
      </c>
      <c r="F264" t="s">
        <v>17</v>
      </c>
      <c r="G264">
        <v>128</v>
      </c>
      <c r="H264" t="s">
        <v>23</v>
      </c>
      <c r="I264">
        <v>2</v>
      </c>
      <c r="J264">
        <v>1</v>
      </c>
      <c r="K264" t="s">
        <v>35</v>
      </c>
      <c r="L264">
        <v>1</v>
      </c>
      <c r="M264">
        <v>362</v>
      </c>
      <c r="O264">
        <v>4</v>
      </c>
      <c r="P264">
        <v>2</v>
      </c>
      <c r="Q264" t="s">
        <v>26</v>
      </c>
      <c r="R264">
        <v>1</v>
      </c>
      <c r="S264">
        <v>2176</v>
      </c>
      <c r="T264" t="s">
        <v>21</v>
      </c>
    </row>
    <row r="265" spans="1:20" x14ac:dyDescent="0.25">
      <c r="A265">
        <v>46</v>
      </c>
      <c r="B265" t="str">
        <f t="shared" si="4"/>
        <v>45-54</v>
      </c>
      <c r="C265" t="s">
        <v>21</v>
      </c>
      <c r="F265" t="s">
        <v>17</v>
      </c>
      <c r="G265">
        <v>488</v>
      </c>
      <c r="H265" t="s">
        <v>18</v>
      </c>
      <c r="I265">
        <v>2</v>
      </c>
      <c r="J265">
        <v>3</v>
      </c>
      <c r="K265" t="s">
        <v>35</v>
      </c>
      <c r="L265">
        <v>1</v>
      </c>
      <c r="M265">
        <v>363</v>
      </c>
      <c r="O265">
        <v>3</v>
      </c>
      <c r="P265">
        <v>4</v>
      </c>
      <c r="Q265" t="s">
        <v>31</v>
      </c>
      <c r="R265">
        <v>2</v>
      </c>
      <c r="S265">
        <v>16872</v>
      </c>
      <c r="T265" t="s">
        <v>16</v>
      </c>
    </row>
    <row r="266" spans="1:20" x14ac:dyDescent="0.25">
      <c r="A266">
        <v>28</v>
      </c>
      <c r="B266" t="str">
        <f t="shared" si="4"/>
        <v>25-34</v>
      </c>
      <c r="C266" t="s">
        <v>16</v>
      </c>
      <c r="F266" t="s">
        <v>17</v>
      </c>
      <c r="G266">
        <v>529</v>
      </c>
      <c r="H266" t="s">
        <v>23</v>
      </c>
      <c r="I266">
        <v>2</v>
      </c>
      <c r="J266">
        <v>4</v>
      </c>
      <c r="K266" t="s">
        <v>19</v>
      </c>
      <c r="L266">
        <v>1</v>
      </c>
      <c r="M266">
        <v>364</v>
      </c>
      <c r="O266">
        <v>1</v>
      </c>
      <c r="P266">
        <v>1</v>
      </c>
      <c r="Q266" t="s">
        <v>26</v>
      </c>
      <c r="R266">
        <v>3</v>
      </c>
      <c r="S266">
        <v>3485</v>
      </c>
      <c r="T266" t="s">
        <v>21</v>
      </c>
    </row>
    <row r="267" spans="1:20" x14ac:dyDescent="0.25">
      <c r="A267">
        <v>29</v>
      </c>
      <c r="B267" t="str">
        <f t="shared" si="4"/>
        <v>25-34</v>
      </c>
      <c r="C267" t="s">
        <v>21</v>
      </c>
      <c r="F267" t="s">
        <v>17</v>
      </c>
      <c r="G267">
        <v>1210</v>
      </c>
      <c r="H267" t="s">
        <v>18</v>
      </c>
      <c r="I267">
        <v>2</v>
      </c>
      <c r="J267">
        <v>3</v>
      </c>
      <c r="K267" t="s">
        <v>27</v>
      </c>
      <c r="L267">
        <v>1</v>
      </c>
      <c r="M267">
        <v>366</v>
      </c>
      <c r="O267">
        <v>1</v>
      </c>
      <c r="P267">
        <v>2</v>
      </c>
      <c r="Q267" t="s">
        <v>20</v>
      </c>
      <c r="R267">
        <v>2</v>
      </c>
      <c r="S267">
        <v>6644</v>
      </c>
      <c r="T267" t="s">
        <v>21</v>
      </c>
    </row>
    <row r="268" spans="1:20" x14ac:dyDescent="0.25">
      <c r="A268">
        <v>31</v>
      </c>
      <c r="B268" t="str">
        <f t="shared" si="4"/>
        <v>25-34</v>
      </c>
      <c r="C268" t="s">
        <v>21</v>
      </c>
      <c r="F268" t="s">
        <v>17</v>
      </c>
      <c r="G268">
        <v>1463</v>
      </c>
      <c r="H268" t="s">
        <v>23</v>
      </c>
      <c r="I268">
        <v>23</v>
      </c>
      <c r="J268">
        <v>3</v>
      </c>
      <c r="K268" t="s">
        <v>27</v>
      </c>
      <c r="L268">
        <v>1</v>
      </c>
      <c r="M268">
        <v>367</v>
      </c>
      <c r="O268">
        <v>2</v>
      </c>
      <c r="P268">
        <v>2</v>
      </c>
      <c r="Q268" t="s">
        <v>29</v>
      </c>
      <c r="R268">
        <v>4</v>
      </c>
      <c r="S268">
        <v>5582</v>
      </c>
      <c r="T268" t="s">
        <v>21</v>
      </c>
    </row>
    <row r="269" spans="1:20" x14ac:dyDescent="0.25">
      <c r="A269">
        <v>25</v>
      </c>
      <c r="B269" t="str">
        <f t="shared" si="4"/>
        <v>25-34</v>
      </c>
      <c r="C269" t="s">
        <v>21</v>
      </c>
      <c r="F269" t="s">
        <v>30</v>
      </c>
      <c r="G269">
        <v>675</v>
      </c>
      <c r="H269" t="s">
        <v>23</v>
      </c>
      <c r="I269">
        <v>5</v>
      </c>
      <c r="J269">
        <v>2</v>
      </c>
      <c r="K269" t="s">
        <v>19</v>
      </c>
      <c r="L269">
        <v>1</v>
      </c>
      <c r="M269">
        <v>369</v>
      </c>
      <c r="O269">
        <v>2</v>
      </c>
      <c r="P269">
        <v>2</v>
      </c>
      <c r="Q269" t="s">
        <v>29</v>
      </c>
      <c r="R269">
        <v>1</v>
      </c>
      <c r="S269">
        <v>4000</v>
      </c>
      <c r="T269" t="s">
        <v>21</v>
      </c>
    </row>
    <row r="270" spans="1:20" x14ac:dyDescent="0.25">
      <c r="A270">
        <v>45</v>
      </c>
      <c r="B270" t="str">
        <f t="shared" si="4"/>
        <v>45-54</v>
      </c>
      <c r="C270" t="s">
        <v>21</v>
      </c>
      <c r="F270" t="s">
        <v>17</v>
      </c>
      <c r="G270">
        <v>1385</v>
      </c>
      <c r="H270" t="s">
        <v>23</v>
      </c>
      <c r="I270">
        <v>20</v>
      </c>
      <c r="J270">
        <v>2</v>
      </c>
      <c r="K270" t="s">
        <v>27</v>
      </c>
      <c r="L270">
        <v>1</v>
      </c>
      <c r="M270">
        <v>372</v>
      </c>
      <c r="O270">
        <v>3</v>
      </c>
      <c r="P270">
        <v>4</v>
      </c>
      <c r="Q270" t="s">
        <v>29</v>
      </c>
      <c r="R270">
        <v>4</v>
      </c>
      <c r="S270">
        <v>13496</v>
      </c>
      <c r="T270" t="s">
        <v>16</v>
      </c>
    </row>
    <row r="271" spans="1:20" x14ac:dyDescent="0.25">
      <c r="A271">
        <v>36</v>
      </c>
      <c r="B271" t="str">
        <f t="shared" si="4"/>
        <v>35-44</v>
      </c>
      <c r="C271" t="s">
        <v>21</v>
      </c>
      <c r="F271" t="s">
        <v>17</v>
      </c>
      <c r="G271">
        <v>1403</v>
      </c>
      <c r="H271" t="s">
        <v>23</v>
      </c>
      <c r="I271">
        <v>6</v>
      </c>
      <c r="J271">
        <v>3</v>
      </c>
      <c r="K271" t="s">
        <v>19</v>
      </c>
      <c r="L271">
        <v>1</v>
      </c>
      <c r="M271">
        <v>373</v>
      </c>
      <c r="O271">
        <v>4</v>
      </c>
      <c r="P271">
        <v>1</v>
      </c>
      <c r="Q271" t="s">
        <v>26</v>
      </c>
      <c r="R271">
        <v>4</v>
      </c>
      <c r="S271">
        <v>3210</v>
      </c>
      <c r="T271" t="s">
        <v>21</v>
      </c>
    </row>
    <row r="272" spans="1:20" x14ac:dyDescent="0.25">
      <c r="A272">
        <v>55</v>
      </c>
      <c r="B272" t="str">
        <f t="shared" si="4"/>
        <v>55+</v>
      </c>
      <c r="C272" t="s">
        <v>21</v>
      </c>
      <c r="F272" t="s">
        <v>17</v>
      </c>
      <c r="G272">
        <v>452</v>
      </c>
      <c r="H272" t="s">
        <v>23</v>
      </c>
      <c r="I272">
        <v>1</v>
      </c>
      <c r="J272">
        <v>3</v>
      </c>
      <c r="K272" t="s">
        <v>27</v>
      </c>
      <c r="L272">
        <v>1</v>
      </c>
      <c r="M272">
        <v>374</v>
      </c>
      <c r="O272">
        <v>4</v>
      </c>
      <c r="P272">
        <v>5</v>
      </c>
      <c r="Q272" t="s">
        <v>31</v>
      </c>
      <c r="R272">
        <v>1</v>
      </c>
      <c r="S272">
        <v>19045</v>
      </c>
      <c r="T272" t="s">
        <v>16</v>
      </c>
    </row>
    <row r="273" spans="1:20" x14ac:dyDescent="0.25">
      <c r="A273">
        <v>47</v>
      </c>
      <c r="B273" t="str">
        <f t="shared" si="4"/>
        <v>45-54</v>
      </c>
      <c r="C273" t="s">
        <v>16</v>
      </c>
      <c r="F273" t="s">
        <v>30</v>
      </c>
      <c r="G273">
        <v>666</v>
      </c>
      <c r="H273" t="s">
        <v>23</v>
      </c>
      <c r="I273">
        <v>29</v>
      </c>
      <c r="J273">
        <v>4</v>
      </c>
      <c r="K273" t="s">
        <v>19</v>
      </c>
      <c r="L273">
        <v>1</v>
      </c>
      <c r="M273">
        <v>376</v>
      </c>
      <c r="O273">
        <v>1</v>
      </c>
      <c r="P273">
        <v>3</v>
      </c>
      <c r="Q273" t="s">
        <v>31</v>
      </c>
      <c r="R273">
        <v>2</v>
      </c>
      <c r="S273">
        <v>11849</v>
      </c>
      <c r="T273" t="s">
        <v>16</v>
      </c>
    </row>
    <row r="274" spans="1:20" x14ac:dyDescent="0.25">
      <c r="A274">
        <v>28</v>
      </c>
      <c r="B274" t="str">
        <f t="shared" si="4"/>
        <v>25-34</v>
      </c>
      <c r="C274" t="s">
        <v>21</v>
      </c>
      <c r="F274" t="s">
        <v>17</v>
      </c>
      <c r="G274">
        <v>1158</v>
      </c>
      <c r="H274" t="s">
        <v>23</v>
      </c>
      <c r="I274">
        <v>9</v>
      </c>
      <c r="J274">
        <v>3</v>
      </c>
      <c r="K274" t="s">
        <v>27</v>
      </c>
      <c r="L274">
        <v>1</v>
      </c>
      <c r="M274">
        <v>377</v>
      </c>
      <c r="O274">
        <v>4</v>
      </c>
      <c r="P274">
        <v>1</v>
      </c>
      <c r="Q274" t="s">
        <v>24</v>
      </c>
      <c r="R274">
        <v>4</v>
      </c>
      <c r="S274">
        <v>2070</v>
      </c>
      <c r="T274" t="s">
        <v>21</v>
      </c>
    </row>
    <row r="275" spans="1:20" x14ac:dyDescent="0.25">
      <c r="A275">
        <v>37</v>
      </c>
      <c r="B275" t="str">
        <f t="shared" si="4"/>
        <v>35-44</v>
      </c>
      <c r="C275" t="s">
        <v>21</v>
      </c>
      <c r="F275" t="s">
        <v>17</v>
      </c>
      <c r="G275">
        <v>228</v>
      </c>
      <c r="H275" t="s">
        <v>18</v>
      </c>
      <c r="I275">
        <v>6</v>
      </c>
      <c r="J275">
        <v>4</v>
      </c>
      <c r="K275" t="s">
        <v>27</v>
      </c>
      <c r="L275">
        <v>1</v>
      </c>
      <c r="M275">
        <v>378</v>
      </c>
      <c r="O275">
        <v>3</v>
      </c>
      <c r="P275">
        <v>2</v>
      </c>
      <c r="Q275" t="s">
        <v>20</v>
      </c>
      <c r="R275">
        <v>4</v>
      </c>
      <c r="S275">
        <v>6502</v>
      </c>
      <c r="T275" t="s">
        <v>21</v>
      </c>
    </row>
    <row r="276" spans="1:20" x14ac:dyDescent="0.25">
      <c r="A276">
        <v>21</v>
      </c>
      <c r="B276" t="str">
        <f t="shared" si="4"/>
        <v>18-24</v>
      </c>
      <c r="C276" t="s">
        <v>21</v>
      </c>
      <c r="F276" t="s">
        <v>17</v>
      </c>
      <c r="G276">
        <v>996</v>
      </c>
      <c r="H276" t="s">
        <v>23</v>
      </c>
      <c r="I276">
        <v>3</v>
      </c>
      <c r="J276">
        <v>2</v>
      </c>
      <c r="K276" t="s">
        <v>27</v>
      </c>
      <c r="L276">
        <v>1</v>
      </c>
      <c r="M276">
        <v>379</v>
      </c>
      <c r="O276">
        <v>4</v>
      </c>
      <c r="P276">
        <v>1</v>
      </c>
      <c r="Q276" t="s">
        <v>24</v>
      </c>
      <c r="R276">
        <v>3</v>
      </c>
      <c r="S276">
        <v>3230</v>
      </c>
      <c r="T276" t="s">
        <v>21</v>
      </c>
    </row>
    <row r="277" spans="1:20" x14ac:dyDescent="0.25">
      <c r="A277">
        <v>37</v>
      </c>
      <c r="B277" t="str">
        <f t="shared" si="4"/>
        <v>35-44</v>
      </c>
      <c r="C277" t="s">
        <v>21</v>
      </c>
      <c r="F277" t="s">
        <v>30</v>
      </c>
      <c r="G277">
        <v>728</v>
      </c>
      <c r="H277" t="s">
        <v>23</v>
      </c>
      <c r="I277">
        <v>1</v>
      </c>
      <c r="J277">
        <v>4</v>
      </c>
      <c r="K277" t="s">
        <v>27</v>
      </c>
      <c r="L277">
        <v>1</v>
      </c>
      <c r="M277">
        <v>380</v>
      </c>
      <c r="O277">
        <v>1</v>
      </c>
      <c r="P277">
        <v>3</v>
      </c>
      <c r="Q277" t="s">
        <v>33</v>
      </c>
      <c r="R277">
        <v>4</v>
      </c>
      <c r="S277">
        <v>13603</v>
      </c>
      <c r="T277" t="s">
        <v>16</v>
      </c>
    </row>
    <row r="278" spans="1:20" x14ac:dyDescent="0.25">
      <c r="A278">
        <v>35</v>
      </c>
      <c r="B278" t="str">
        <f t="shared" si="4"/>
        <v>35-44</v>
      </c>
      <c r="C278" t="s">
        <v>21</v>
      </c>
      <c r="F278" t="s">
        <v>17</v>
      </c>
      <c r="G278">
        <v>1315</v>
      </c>
      <c r="H278" t="s">
        <v>23</v>
      </c>
      <c r="I278">
        <v>22</v>
      </c>
      <c r="J278">
        <v>3</v>
      </c>
      <c r="K278" t="s">
        <v>19</v>
      </c>
      <c r="L278">
        <v>1</v>
      </c>
      <c r="M278">
        <v>381</v>
      </c>
      <c r="O278">
        <v>2</v>
      </c>
      <c r="P278">
        <v>3</v>
      </c>
      <c r="Q278" t="s">
        <v>31</v>
      </c>
      <c r="R278">
        <v>2</v>
      </c>
      <c r="S278">
        <v>11996</v>
      </c>
      <c r="T278" t="s">
        <v>21</v>
      </c>
    </row>
    <row r="279" spans="1:20" x14ac:dyDescent="0.25">
      <c r="A279">
        <v>38</v>
      </c>
      <c r="B279" t="str">
        <f t="shared" si="4"/>
        <v>35-44</v>
      </c>
      <c r="C279" t="s">
        <v>21</v>
      </c>
      <c r="F279" t="s">
        <v>17</v>
      </c>
      <c r="G279">
        <v>322</v>
      </c>
      <c r="H279" t="s">
        <v>18</v>
      </c>
      <c r="I279">
        <v>7</v>
      </c>
      <c r="J279">
        <v>2</v>
      </c>
      <c r="K279" t="s">
        <v>27</v>
      </c>
      <c r="L279">
        <v>1</v>
      </c>
      <c r="M279">
        <v>382</v>
      </c>
      <c r="O279">
        <v>1</v>
      </c>
      <c r="P279">
        <v>2</v>
      </c>
      <c r="Q279" t="s">
        <v>20</v>
      </c>
      <c r="R279">
        <v>1</v>
      </c>
      <c r="S279">
        <v>5605</v>
      </c>
      <c r="T279" t="s">
        <v>16</v>
      </c>
    </row>
    <row r="280" spans="1:20" x14ac:dyDescent="0.25">
      <c r="A280">
        <v>26</v>
      </c>
      <c r="B280" t="str">
        <f t="shared" si="4"/>
        <v>25-34</v>
      </c>
      <c r="C280" t="s">
        <v>21</v>
      </c>
      <c r="F280" t="s">
        <v>22</v>
      </c>
      <c r="G280">
        <v>1479</v>
      </c>
      <c r="H280" t="s">
        <v>23</v>
      </c>
      <c r="I280">
        <v>1</v>
      </c>
      <c r="J280">
        <v>3</v>
      </c>
      <c r="K280" t="s">
        <v>19</v>
      </c>
      <c r="L280">
        <v>1</v>
      </c>
      <c r="M280">
        <v>384</v>
      </c>
      <c r="O280">
        <v>3</v>
      </c>
      <c r="P280">
        <v>2</v>
      </c>
      <c r="Q280" t="s">
        <v>28</v>
      </c>
      <c r="R280">
        <v>2</v>
      </c>
      <c r="S280">
        <v>6397</v>
      </c>
      <c r="T280" t="s">
        <v>21</v>
      </c>
    </row>
    <row r="281" spans="1:20" x14ac:dyDescent="0.25">
      <c r="A281">
        <v>50</v>
      </c>
      <c r="B281" t="str">
        <f t="shared" si="4"/>
        <v>45-54</v>
      </c>
      <c r="C281" t="s">
        <v>21</v>
      </c>
      <c r="F281" t="s">
        <v>17</v>
      </c>
      <c r="G281">
        <v>797</v>
      </c>
      <c r="H281" t="s">
        <v>23</v>
      </c>
      <c r="I281">
        <v>4</v>
      </c>
      <c r="J281">
        <v>1</v>
      </c>
      <c r="K281" t="s">
        <v>19</v>
      </c>
      <c r="L281">
        <v>1</v>
      </c>
      <c r="M281">
        <v>385</v>
      </c>
      <c r="O281">
        <v>1</v>
      </c>
      <c r="P281">
        <v>5</v>
      </c>
      <c r="Q281" t="s">
        <v>33</v>
      </c>
      <c r="R281">
        <v>2</v>
      </c>
      <c r="S281">
        <v>19144</v>
      </c>
      <c r="T281" t="s">
        <v>21</v>
      </c>
    </row>
    <row r="282" spans="1:20" x14ac:dyDescent="0.25">
      <c r="A282">
        <v>53</v>
      </c>
      <c r="B282" t="str">
        <f t="shared" si="4"/>
        <v>45-54</v>
      </c>
      <c r="C282" t="s">
        <v>21</v>
      </c>
      <c r="F282" t="s">
        <v>17</v>
      </c>
      <c r="G282">
        <v>1070</v>
      </c>
      <c r="H282" t="s">
        <v>23</v>
      </c>
      <c r="I282">
        <v>3</v>
      </c>
      <c r="J282">
        <v>4</v>
      </c>
      <c r="K282" t="s">
        <v>27</v>
      </c>
      <c r="L282">
        <v>1</v>
      </c>
      <c r="M282">
        <v>386</v>
      </c>
      <c r="O282">
        <v>3</v>
      </c>
      <c r="P282">
        <v>4</v>
      </c>
      <c r="Q282" t="s">
        <v>33</v>
      </c>
      <c r="R282">
        <v>3</v>
      </c>
      <c r="S282">
        <v>17584</v>
      </c>
      <c r="T282" t="s">
        <v>16</v>
      </c>
    </row>
    <row r="283" spans="1:20" x14ac:dyDescent="0.25">
      <c r="A283">
        <v>42</v>
      </c>
      <c r="B283" t="str">
        <f t="shared" si="4"/>
        <v>35-44</v>
      </c>
      <c r="C283" t="s">
        <v>21</v>
      </c>
      <c r="F283" t="s">
        <v>17</v>
      </c>
      <c r="G283">
        <v>635</v>
      </c>
      <c r="H283" t="s">
        <v>18</v>
      </c>
      <c r="I283">
        <v>1</v>
      </c>
      <c r="J283">
        <v>1</v>
      </c>
      <c r="K283" t="s">
        <v>19</v>
      </c>
      <c r="L283">
        <v>1</v>
      </c>
      <c r="M283">
        <v>387</v>
      </c>
      <c r="O283">
        <v>2</v>
      </c>
      <c r="P283">
        <v>2</v>
      </c>
      <c r="Q283" t="s">
        <v>20</v>
      </c>
      <c r="R283">
        <v>3</v>
      </c>
      <c r="S283">
        <v>4907</v>
      </c>
      <c r="T283" t="s">
        <v>21</v>
      </c>
    </row>
    <row r="284" spans="1:20" x14ac:dyDescent="0.25">
      <c r="A284">
        <v>29</v>
      </c>
      <c r="B284" t="str">
        <f t="shared" si="4"/>
        <v>25-34</v>
      </c>
      <c r="C284" t="s">
        <v>21</v>
      </c>
      <c r="F284" t="s">
        <v>22</v>
      </c>
      <c r="G284">
        <v>442</v>
      </c>
      <c r="H284" t="s">
        <v>18</v>
      </c>
      <c r="I284">
        <v>2</v>
      </c>
      <c r="J284">
        <v>2</v>
      </c>
      <c r="K284" t="s">
        <v>19</v>
      </c>
      <c r="L284">
        <v>1</v>
      </c>
      <c r="M284">
        <v>388</v>
      </c>
      <c r="O284">
        <v>2</v>
      </c>
      <c r="P284">
        <v>2</v>
      </c>
      <c r="Q284" t="s">
        <v>20</v>
      </c>
      <c r="R284">
        <v>4</v>
      </c>
      <c r="S284">
        <v>4554</v>
      </c>
      <c r="T284" t="s">
        <v>21</v>
      </c>
    </row>
    <row r="285" spans="1:20" x14ac:dyDescent="0.25">
      <c r="A285">
        <v>55</v>
      </c>
      <c r="B285" t="str">
        <f t="shared" si="4"/>
        <v>55+</v>
      </c>
      <c r="C285" t="s">
        <v>21</v>
      </c>
      <c r="F285" t="s">
        <v>17</v>
      </c>
      <c r="G285">
        <v>147</v>
      </c>
      <c r="H285" t="s">
        <v>23</v>
      </c>
      <c r="I285">
        <v>20</v>
      </c>
      <c r="J285">
        <v>2</v>
      </c>
      <c r="K285" t="s">
        <v>35</v>
      </c>
      <c r="L285">
        <v>1</v>
      </c>
      <c r="M285">
        <v>389</v>
      </c>
      <c r="O285">
        <v>2</v>
      </c>
      <c r="P285">
        <v>2</v>
      </c>
      <c r="Q285" t="s">
        <v>26</v>
      </c>
      <c r="R285">
        <v>4</v>
      </c>
      <c r="S285">
        <v>5415</v>
      </c>
      <c r="T285" t="s">
        <v>16</v>
      </c>
    </row>
    <row r="286" spans="1:20" x14ac:dyDescent="0.25">
      <c r="A286">
        <v>26</v>
      </c>
      <c r="B286" t="str">
        <f t="shared" si="4"/>
        <v>25-34</v>
      </c>
      <c r="C286" t="s">
        <v>21</v>
      </c>
      <c r="F286" t="s">
        <v>22</v>
      </c>
      <c r="G286">
        <v>496</v>
      </c>
      <c r="H286" t="s">
        <v>23</v>
      </c>
      <c r="I286">
        <v>11</v>
      </c>
      <c r="J286">
        <v>2</v>
      </c>
      <c r="K286" t="s">
        <v>27</v>
      </c>
      <c r="L286">
        <v>1</v>
      </c>
      <c r="M286">
        <v>390</v>
      </c>
      <c r="O286">
        <v>1</v>
      </c>
      <c r="P286">
        <v>2</v>
      </c>
      <c r="Q286" t="s">
        <v>29</v>
      </c>
      <c r="R286">
        <v>1</v>
      </c>
      <c r="S286">
        <v>4741</v>
      </c>
      <c r="T286" t="s">
        <v>16</v>
      </c>
    </row>
    <row r="287" spans="1:20" x14ac:dyDescent="0.25">
      <c r="A287">
        <v>37</v>
      </c>
      <c r="B287" t="str">
        <f t="shared" si="4"/>
        <v>35-44</v>
      </c>
      <c r="C287" t="s">
        <v>21</v>
      </c>
      <c r="F287" t="s">
        <v>17</v>
      </c>
      <c r="G287">
        <v>1372</v>
      </c>
      <c r="H287" t="s">
        <v>23</v>
      </c>
      <c r="I287">
        <v>1</v>
      </c>
      <c r="J287">
        <v>3</v>
      </c>
      <c r="K287" t="s">
        <v>19</v>
      </c>
      <c r="L287">
        <v>1</v>
      </c>
      <c r="M287">
        <v>391</v>
      </c>
      <c r="O287">
        <v>4</v>
      </c>
      <c r="P287">
        <v>1</v>
      </c>
      <c r="Q287" t="s">
        <v>24</v>
      </c>
      <c r="R287">
        <v>4</v>
      </c>
      <c r="S287">
        <v>2115</v>
      </c>
      <c r="T287" t="s">
        <v>21</v>
      </c>
    </row>
    <row r="288" spans="1:20" x14ac:dyDescent="0.25">
      <c r="A288">
        <v>44</v>
      </c>
      <c r="B288" t="str">
        <f t="shared" si="4"/>
        <v>35-44</v>
      </c>
      <c r="C288" t="s">
        <v>16</v>
      </c>
      <c r="F288" t="s">
        <v>22</v>
      </c>
      <c r="G288">
        <v>920</v>
      </c>
      <c r="H288" t="s">
        <v>23</v>
      </c>
      <c r="I288">
        <v>24</v>
      </c>
      <c r="J288">
        <v>3</v>
      </c>
      <c r="K288" t="s">
        <v>19</v>
      </c>
      <c r="L288">
        <v>1</v>
      </c>
      <c r="M288">
        <v>392</v>
      </c>
      <c r="O288">
        <v>4</v>
      </c>
      <c r="P288">
        <v>1</v>
      </c>
      <c r="Q288" t="s">
        <v>26</v>
      </c>
      <c r="R288">
        <v>3</v>
      </c>
      <c r="S288">
        <v>3161</v>
      </c>
      <c r="T288" t="s">
        <v>16</v>
      </c>
    </row>
    <row r="289" spans="1:20" x14ac:dyDescent="0.25">
      <c r="A289">
        <v>38</v>
      </c>
      <c r="B289" t="str">
        <f t="shared" si="4"/>
        <v>35-44</v>
      </c>
      <c r="C289" t="s">
        <v>21</v>
      </c>
      <c r="F289" t="s">
        <v>17</v>
      </c>
      <c r="G289">
        <v>688</v>
      </c>
      <c r="H289" t="s">
        <v>23</v>
      </c>
      <c r="I289">
        <v>23</v>
      </c>
      <c r="J289">
        <v>4</v>
      </c>
      <c r="K289" t="s">
        <v>19</v>
      </c>
      <c r="L289">
        <v>1</v>
      </c>
      <c r="M289">
        <v>393</v>
      </c>
      <c r="O289">
        <v>4</v>
      </c>
      <c r="P289">
        <v>2</v>
      </c>
      <c r="Q289" t="s">
        <v>29</v>
      </c>
      <c r="R289">
        <v>4</v>
      </c>
      <c r="S289">
        <v>5745</v>
      </c>
      <c r="T289" t="s">
        <v>21</v>
      </c>
    </row>
    <row r="290" spans="1:20" x14ac:dyDescent="0.25">
      <c r="A290">
        <v>26</v>
      </c>
      <c r="B290" t="str">
        <f t="shared" si="4"/>
        <v>25-34</v>
      </c>
      <c r="C290" t="s">
        <v>16</v>
      </c>
      <c r="F290" t="s">
        <v>17</v>
      </c>
      <c r="G290">
        <v>1449</v>
      </c>
      <c r="H290" t="s">
        <v>23</v>
      </c>
      <c r="I290">
        <v>16</v>
      </c>
      <c r="J290">
        <v>4</v>
      </c>
      <c r="K290" t="s">
        <v>27</v>
      </c>
      <c r="L290">
        <v>1</v>
      </c>
      <c r="M290">
        <v>394</v>
      </c>
      <c r="O290">
        <v>1</v>
      </c>
      <c r="P290">
        <v>1</v>
      </c>
      <c r="Q290" t="s">
        <v>26</v>
      </c>
      <c r="R290">
        <v>2</v>
      </c>
      <c r="S290">
        <v>2373</v>
      </c>
      <c r="T290" t="s">
        <v>16</v>
      </c>
    </row>
    <row r="291" spans="1:20" x14ac:dyDescent="0.25">
      <c r="A291">
        <v>28</v>
      </c>
      <c r="B291" t="str">
        <f t="shared" si="4"/>
        <v>25-34</v>
      </c>
      <c r="C291" t="s">
        <v>21</v>
      </c>
      <c r="F291" t="s">
        <v>17</v>
      </c>
      <c r="G291">
        <v>1117</v>
      </c>
      <c r="H291" t="s">
        <v>23</v>
      </c>
      <c r="I291">
        <v>8</v>
      </c>
      <c r="J291">
        <v>2</v>
      </c>
      <c r="K291" t="s">
        <v>19</v>
      </c>
      <c r="L291">
        <v>1</v>
      </c>
      <c r="M291">
        <v>395</v>
      </c>
      <c r="O291">
        <v>4</v>
      </c>
      <c r="P291">
        <v>1</v>
      </c>
      <c r="Q291" t="s">
        <v>24</v>
      </c>
      <c r="R291">
        <v>4</v>
      </c>
      <c r="S291">
        <v>3310</v>
      </c>
      <c r="T291" t="s">
        <v>21</v>
      </c>
    </row>
    <row r="292" spans="1:20" x14ac:dyDescent="0.25">
      <c r="A292">
        <v>49</v>
      </c>
      <c r="B292" t="str">
        <f t="shared" si="4"/>
        <v>45-54</v>
      </c>
      <c r="C292" t="s">
        <v>21</v>
      </c>
      <c r="F292" t="s">
        <v>22</v>
      </c>
      <c r="G292">
        <v>636</v>
      </c>
      <c r="H292" t="s">
        <v>23</v>
      </c>
      <c r="I292">
        <v>10</v>
      </c>
      <c r="J292">
        <v>4</v>
      </c>
      <c r="K292" t="s">
        <v>19</v>
      </c>
      <c r="L292">
        <v>1</v>
      </c>
      <c r="M292">
        <v>396</v>
      </c>
      <c r="O292">
        <v>3</v>
      </c>
      <c r="P292">
        <v>5</v>
      </c>
      <c r="Q292" t="s">
        <v>33</v>
      </c>
      <c r="R292">
        <v>1</v>
      </c>
      <c r="S292">
        <v>18665</v>
      </c>
      <c r="T292" t="s">
        <v>16</v>
      </c>
    </row>
    <row r="293" spans="1:20" x14ac:dyDescent="0.25">
      <c r="A293">
        <v>36</v>
      </c>
      <c r="B293" t="str">
        <f t="shared" si="4"/>
        <v>35-44</v>
      </c>
      <c r="C293" t="s">
        <v>21</v>
      </c>
      <c r="F293" t="s">
        <v>17</v>
      </c>
      <c r="G293">
        <v>506</v>
      </c>
      <c r="H293" t="s">
        <v>23</v>
      </c>
      <c r="I293">
        <v>3</v>
      </c>
      <c r="J293">
        <v>3</v>
      </c>
      <c r="K293" t="s">
        <v>35</v>
      </c>
      <c r="L293">
        <v>1</v>
      </c>
      <c r="M293">
        <v>397</v>
      </c>
      <c r="O293">
        <v>3</v>
      </c>
      <c r="P293">
        <v>2</v>
      </c>
      <c r="Q293" t="s">
        <v>24</v>
      </c>
      <c r="R293">
        <v>2</v>
      </c>
      <c r="S293">
        <v>4485</v>
      </c>
      <c r="T293" t="s">
        <v>21</v>
      </c>
    </row>
    <row r="294" spans="1:20" x14ac:dyDescent="0.25">
      <c r="A294">
        <v>31</v>
      </c>
      <c r="B294" t="str">
        <f t="shared" si="4"/>
        <v>25-34</v>
      </c>
      <c r="C294" t="s">
        <v>21</v>
      </c>
      <c r="F294" t="s">
        <v>22</v>
      </c>
      <c r="G294">
        <v>444</v>
      </c>
      <c r="H294" t="s">
        <v>18</v>
      </c>
      <c r="I294">
        <v>5</v>
      </c>
      <c r="J294">
        <v>3</v>
      </c>
      <c r="K294" t="s">
        <v>34</v>
      </c>
      <c r="L294">
        <v>1</v>
      </c>
      <c r="M294">
        <v>399</v>
      </c>
      <c r="O294">
        <v>4</v>
      </c>
      <c r="P294">
        <v>1</v>
      </c>
      <c r="Q294" t="s">
        <v>32</v>
      </c>
      <c r="R294">
        <v>2</v>
      </c>
      <c r="S294">
        <v>2789</v>
      </c>
      <c r="T294" t="s">
        <v>21</v>
      </c>
    </row>
    <row r="295" spans="1:20" x14ac:dyDescent="0.25">
      <c r="A295">
        <v>26</v>
      </c>
      <c r="B295" t="str">
        <f t="shared" si="4"/>
        <v>25-34</v>
      </c>
      <c r="C295" t="s">
        <v>16</v>
      </c>
      <c r="F295" t="s">
        <v>17</v>
      </c>
      <c r="G295">
        <v>950</v>
      </c>
      <c r="H295" t="s">
        <v>18</v>
      </c>
      <c r="I295">
        <v>4</v>
      </c>
      <c r="J295">
        <v>4</v>
      </c>
      <c r="K295" t="s">
        <v>34</v>
      </c>
      <c r="L295">
        <v>1</v>
      </c>
      <c r="M295">
        <v>401</v>
      </c>
      <c r="O295">
        <v>4</v>
      </c>
      <c r="P295">
        <v>2</v>
      </c>
      <c r="Q295" t="s">
        <v>20</v>
      </c>
      <c r="R295">
        <v>4</v>
      </c>
      <c r="S295">
        <v>5828</v>
      </c>
      <c r="T295" t="s">
        <v>16</v>
      </c>
    </row>
    <row r="296" spans="1:20" x14ac:dyDescent="0.25">
      <c r="A296">
        <v>37</v>
      </c>
      <c r="B296" t="str">
        <f t="shared" si="4"/>
        <v>35-44</v>
      </c>
      <c r="C296" t="s">
        <v>21</v>
      </c>
      <c r="F296" t="s">
        <v>22</v>
      </c>
      <c r="G296">
        <v>889</v>
      </c>
      <c r="H296" t="s">
        <v>23</v>
      </c>
      <c r="I296">
        <v>9</v>
      </c>
      <c r="J296">
        <v>3</v>
      </c>
      <c r="K296" t="s">
        <v>27</v>
      </c>
      <c r="L296">
        <v>1</v>
      </c>
      <c r="M296">
        <v>403</v>
      </c>
      <c r="O296">
        <v>2</v>
      </c>
      <c r="P296">
        <v>1</v>
      </c>
      <c r="Q296" t="s">
        <v>24</v>
      </c>
      <c r="R296">
        <v>4</v>
      </c>
      <c r="S296">
        <v>2326</v>
      </c>
      <c r="T296" t="s">
        <v>16</v>
      </c>
    </row>
    <row r="297" spans="1:20" x14ac:dyDescent="0.25">
      <c r="A297">
        <v>42</v>
      </c>
      <c r="B297" t="str">
        <f t="shared" si="4"/>
        <v>35-44</v>
      </c>
      <c r="C297" t="s">
        <v>21</v>
      </c>
      <c r="F297" t="s">
        <v>22</v>
      </c>
      <c r="G297">
        <v>555</v>
      </c>
      <c r="H297" t="s">
        <v>18</v>
      </c>
      <c r="I297">
        <v>26</v>
      </c>
      <c r="J297">
        <v>3</v>
      </c>
      <c r="K297" t="s">
        <v>34</v>
      </c>
      <c r="L297">
        <v>1</v>
      </c>
      <c r="M297">
        <v>404</v>
      </c>
      <c r="O297">
        <v>3</v>
      </c>
      <c r="P297">
        <v>4</v>
      </c>
      <c r="Q297" t="s">
        <v>20</v>
      </c>
      <c r="R297">
        <v>2</v>
      </c>
      <c r="S297">
        <v>13525</v>
      </c>
      <c r="T297" t="s">
        <v>21</v>
      </c>
    </row>
    <row r="298" spans="1:20" x14ac:dyDescent="0.25">
      <c r="A298">
        <v>18</v>
      </c>
      <c r="B298" t="str">
        <f t="shared" si="4"/>
        <v>18-24</v>
      </c>
      <c r="C298" t="s">
        <v>16</v>
      </c>
      <c r="F298" t="s">
        <v>17</v>
      </c>
      <c r="G298">
        <v>230</v>
      </c>
      <c r="H298" t="s">
        <v>23</v>
      </c>
      <c r="I298">
        <v>3</v>
      </c>
      <c r="J298">
        <v>3</v>
      </c>
      <c r="K298" t="s">
        <v>19</v>
      </c>
      <c r="L298">
        <v>1</v>
      </c>
      <c r="M298">
        <v>405</v>
      </c>
      <c r="O298">
        <v>3</v>
      </c>
      <c r="P298">
        <v>1</v>
      </c>
      <c r="Q298" t="s">
        <v>26</v>
      </c>
      <c r="R298">
        <v>3</v>
      </c>
      <c r="S298">
        <v>1420</v>
      </c>
      <c r="T298" t="s">
        <v>21</v>
      </c>
    </row>
    <row r="299" spans="1:20" x14ac:dyDescent="0.25">
      <c r="A299">
        <v>35</v>
      </c>
      <c r="B299" t="str">
        <f t="shared" si="4"/>
        <v>35-44</v>
      </c>
      <c r="C299" t="s">
        <v>21</v>
      </c>
      <c r="F299" t="s">
        <v>17</v>
      </c>
      <c r="G299">
        <v>1232</v>
      </c>
      <c r="H299" t="s">
        <v>18</v>
      </c>
      <c r="I299">
        <v>16</v>
      </c>
      <c r="J299">
        <v>3</v>
      </c>
      <c r="K299" t="s">
        <v>34</v>
      </c>
      <c r="L299">
        <v>1</v>
      </c>
      <c r="M299">
        <v>406</v>
      </c>
      <c r="O299">
        <v>3</v>
      </c>
      <c r="P299">
        <v>3</v>
      </c>
      <c r="Q299" t="s">
        <v>20</v>
      </c>
      <c r="R299">
        <v>2</v>
      </c>
      <c r="S299">
        <v>8020</v>
      </c>
      <c r="T299" t="s">
        <v>21</v>
      </c>
    </row>
    <row r="300" spans="1:20" x14ac:dyDescent="0.25">
      <c r="A300">
        <v>36</v>
      </c>
      <c r="B300" t="str">
        <f t="shared" si="4"/>
        <v>35-44</v>
      </c>
      <c r="C300" t="s">
        <v>21</v>
      </c>
      <c r="F300" t="s">
        <v>22</v>
      </c>
      <c r="G300">
        <v>566</v>
      </c>
      <c r="H300" t="s">
        <v>23</v>
      </c>
      <c r="I300">
        <v>18</v>
      </c>
      <c r="J300">
        <v>4</v>
      </c>
      <c r="K300" t="s">
        <v>19</v>
      </c>
      <c r="L300">
        <v>1</v>
      </c>
      <c r="M300">
        <v>407</v>
      </c>
      <c r="O300">
        <v>3</v>
      </c>
      <c r="P300">
        <v>1</v>
      </c>
      <c r="Q300" t="s">
        <v>26</v>
      </c>
      <c r="R300">
        <v>4</v>
      </c>
      <c r="S300">
        <v>3688</v>
      </c>
      <c r="T300" t="s">
        <v>21</v>
      </c>
    </row>
    <row r="301" spans="1:20" x14ac:dyDescent="0.25">
      <c r="A301">
        <v>51</v>
      </c>
      <c r="B301" t="str">
        <f t="shared" si="4"/>
        <v>45-54</v>
      </c>
      <c r="C301" t="s">
        <v>21</v>
      </c>
      <c r="F301" t="s">
        <v>17</v>
      </c>
      <c r="G301">
        <v>1302</v>
      </c>
      <c r="H301" t="s">
        <v>23</v>
      </c>
      <c r="I301">
        <v>2</v>
      </c>
      <c r="J301">
        <v>3</v>
      </c>
      <c r="K301" t="s">
        <v>27</v>
      </c>
      <c r="L301">
        <v>1</v>
      </c>
      <c r="M301">
        <v>408</v>
      </c>
      <c r="O301">
        <v>4</v>
      </c>
      <c r="P301">
        <v>2</v>
      </c>
      <c r="Q301" t="s">
        <v>28</v>
      </c>
      <c r="R301">
        <v>2</v>
      </c>
      <c r="S301">
        <v>5482</v>
      </c>
      <c r="T301" t="s">
        <v>21</v>
      </c>
    </row>
    <row r="302" spans="1:20" x14ac:dyDescent="0.25">
      <c r="A302">
        <v>41</v>
      </c>
      <c r="B302" t="str">
        <f t="shared" si="4"/>
        <v>35-44</v>
      </c>
      <c r="C302" t="s">
        <v>21</v>
      </c>
      <c r="F302" t="s">
        <v>17</v>
      </c>
      <c r="G302">
        <v>334</v>
      </c>
      <c r="H302" t="s">
        <v>18</v>
      </c>
      <c r="I302">
        <v>2</v>
      </c>
      <c r="J302">
        <v>4</v>
      </c>
      <c r="K302" t="s">
        <v>19</v>
      </c>
      <c r="L302">
        <v>1</v>
      </c>
      <c r="M302">
        <v>410</v>
      </c>
      <c r="O302">
        <v>4</v>
      </c>
      <c r="P302">
        <v>4</v>
      </c>
      <c r="Q302" t="s">
        <v>31</v>
      </c>
      <c r="R302">
        <v>2</v>
      </c>
      <c r="S302">
        <v>16015</v>
      </c>
      <c r="T302" t="s">
        <v>21</v>
      </c>
    </row>
    <row r="303" spans="1:20" x14ac:dyDescent="0.25">
      <c r="A303">
        <v>18</v>
      </c>
      <c r="B303" t="str">
        <f t="shared" si="4"/>
        <v>18-24</v>
      </c>
      <c r="C303" t="s">
        <v>21</v>
      </c>
      <c r="F303" t="s">
        <v>17</v>
      </c>
      <c r="G303">
        <v>812</v>
      </c>
      <c r="H303" t="s">
        <v>18</v>
      </c>
      <c r="I303">
        <v>10</v>
      </c>
      <c r="J303">
        <v>3</v>
      </c>
      <c r="K303" t="s">
        <v>27</v>
      </c>
      <c r="L303">
        <v>1</v>
      </c>
      <c r="M303">
        <v>411</v>
      </c>
      <c r="O303">
        <v>4</v>
      </c>
      <c r="P303">
        <v>1</v>
      </c>
      <c r="Q303" t="s">
        <v>32</v>
      </c>
      <c r="R303">
        <v>3</v>
      </c>
      <c r="S303">
        <v>1200</v>
      </c>
      <c r="T303" t="s">
        <v>21</v>
      </c>
    </row>
    <row r="304" spans="1:20" x14ac:dyDescent="0.25">
      <c r="A304">
        <v>28</v>
      </c>
      <c r="B304" t="str">
        <f t="shared" si="4"/>
        <v>25-34</v>
      </c>
      <c r="C304" t="s">
        <v>21</v>
      </c>
      <c r="F304" t="s">
        <v>17</v>
      </c>
      <c r="G304">
        <v>1476</v>
      </c>
      <c r="H304" t="s">
        <v>23</v>
      </c>
      <c r="I304">
        <v>16</v>
      </c>
      <c r="J304">
        <v>2</v>
      </c>
      <c r="K304" t="s">
        <v>27</v>
      </c>
      <c r="L304">
        <v>1</v>
      </c>
      <c r="M304">
        <v>412</v>
      </c>
      <c r="O304">
        <v>2</v>
      </c>
      <c r="P304">
        <v>2</v>
      </c>
      <c r="Q304" t="s">
        <v>29</v>
      </c>
      <c r="R304">
        <v>1</v>
      </c>
      <c r="S304">
        <v>5661</v>
      </c>
      <c r="T304" t="s">
        <v>21</v>
      </c>
    </row>
    <row r="305" spans="1:20" x14ac:dyDescent="0.25">
      <c r="A305">
        <v>31</v>
      </c>
      <c r="B305" t="str">
        <f t="shared" si="4"/>
        <v>25-34</v>
      </c>
      <c r="C305" t="s">
        <v>21</v>
      </c>
      <c r="F305" t="s">
        <v>17</v>
      </c>
      <c r="G305">
        <v>218</v>
      </c>
      <c r="H305" t="s">
        <v>18</v>
      </c>
      <c r="I305">
        <v>7</v>
      </c>
      <c r="J305">
        <v>3</v>
      </c>
      <c r="K305" t="s">
        <v>35</v>
      </c>
      <c r="L305">
        <v>1</v>
      </c>
      <c r="M305">
        <v>416</v>
      </c>
      <c r="O305">
        <v>2</v>
      </c>
      <c r="P305">
        <v>2</v>
      </c>
      <c r="Q305" t="s">
        <v>20</v>
      </c>
      <c r="R305">
        <v>4</v>
      </c>
      <c r="S305">
        <v>6929</v>
      </c>
      <c r="T305" t="s">
        <v>21</v>
      </c>
    </row>
    <row r="306" spans="1:20" x14ac:dyDescent="0.25">
      <c r="A306">
        <v>39</v>
      </c>
      <c r="B306" t="str">
        <f t="shared" si="4"/>
        <v>35-44</v>
      </c>
      <c r="C306" t="s">
        <v>21</v>
      </c>
      <c r="F306" t="s">
        <v>17</v>
      </c>
      <c r="G306">
        <v>1132</v>
      </c>
      <c r="H306" t="s">
        <v>23</v>
      </c>
      <c r="I306">
        <v>1</v>
      </c>
      <c r="J306">
        <v>3</v>
      </c>
      <c r="K306" t="s">
        <v>27</v>
      </c>
      <c r="L306">
        <v>1</v>
      </c>
      <c r="M306">
        <v>417</v>
      </c>
      <c r="O306">
        <v>3</v>
      </c>
      <c r="P306">
        <v>3</v>
      </c>
      <c r="Q306" t="s">
        <v>29</v>
      </c>
      <c r="R306">
        <v>4</v>
      </c>
      <c r="S306">
        <v>9613</v>
      </c>
      <c r="T306" t="s">
        <v>21</v>
      </c>
    </row>
    <row r="307" spans="1:20" x14ac:dyDescent="0.25">
      <c r="A307">
        <v>36</v>
      </c>
      <c r="B307" t="str">
        <f t="shared" si="4"/>
        <v>35-44</v>
      </c>
      <c r="C307" t="s">
        <v>21</v>
      </c>
      <c r="F307" t="s">
        <v>30</v>
      </c>
      <c r="G307">
        <v>1105</v>
      </c>
      <c r="H307" t="s">
        <v>23</v>
      </c>
      <c r="I307">
        <v>24</v>
      </c>
      <c r="J307">
        <v>4</v>
      </c>
      <c r="K307" t="s">
        <v>19</v>
      </c>
      <c r="L307">
        <v>1</v>
      </c>
      <c r="M307">
        <v>419</v>
      </c>
      <c r="O307">
        <v>2</v>
      </c>
      <c r="P307">
        <v>2</v>
      </c>
      <c r="Q307" t="s">
        <v>26</v>
      </c>
      <c r="R307">
        <v>2</v>
      </c>
      <c r="S307">
        <v>5674</v>
      </c>
      <c r="T307" t="s">
        <v>21</v>
      </c>
    </row>
    <row r="308" spans="1:20" x14ac:dyDescent="0.25">
      <c r="A308">
        <v>32</v>
      </c>
      <c r="B308" t="str">
        <f t="shared" si="4"/>
        <v>25-34</v>
      </c>
      <c r="C308" t="s">
        <v>21</v>
      </c>
      <c r="F308" t="s">
        <v>17</v>
      </c>
      <c r="G308">
        <v>906</v>
      </c>
      <c r="H308" t="s">
        <v>18</v>
      </c>
      <c r="I308">
        <v>7</v>
      </c>
      <c r="J308">
        <v>3</v>
      </c>
      <c r="K308" t="s">
        <v>19</v>
      </c>
      <c r="L308">
        <v>1</v>
      </c>
      <c r="M308">
        <v>420</v>
      </c>
      <c r="O308">
        <v>4</v>
      </c>
      <c r="P308">
        <v>2</v>
      </c>
      <c r="Q308" t="s">
        <v>20</v>
      </c>
      <c r="R308">
        <v>3</v>
      </c>
      <c r="S308">
        <v>5484</v>
      </c>
      <c r="T308" t="s">
        <v>21</v>
      </c>
    </row>
    <row r="309" spans="1:20" x14ac:dyDescent="0.25">
      <c r="A309">
        <v>38</v>
      </c>
      <c r="B309" t="str">
        <f t="shared" si="4"/>
        <v>35-44</v>
      </c>
      <c r="C309" t="s">
        <v>21</v>
      </c>
      <c r="F309" t="s">
        <v>17</v>
      </c>
      <c r="G309">
        <v>849</v>
      </c>
      <c r="H309" t="s">
        <v>23</v>
      </c>
      <c r="I309">
        <v>25</v>
      </c>
      <c r="J309">
        <v>2</v>
      </c>
      <c r="K309" t="s">
        <v>19</v>
      </c>
      <c r="L309">
        <v>1</v>
      </c>
      <c r="M309">
        <v>421</v>
      </c>
      <c r="O309">
        <v>1</v>
      </c>
      <c r="P309">
        <v>3</v>
      </c>
      <c r="Q309" t="s">
        <v>33</v>
      </c>
      <c r="R309">
        <v>2</v>
      </c>
      <c r="S309">
        <v>12061</v>
      </c>
      <c r="T309" t="s">
        <v>21</v>
      </c>
    </row>
    <row r="310" spans="1:20" x14ac:dyDescent="0.25">
      <c r="A310">
        <v>58</v>
      </c>
      <c r="B310" t="str">
        <f t="shared" si="4"/>
        <v>55+</v>
      </c>
      <c r="C310" t="s">
        <v>21</v>
      </c>
      <c r="F310" t="s">
        <v>30</v>
      </c>
      <c r="G310">
        <v>390</v>
      </c>
      <c r="H310" t="s">
        <v>23</v>
      </c>
      <c r="I310">
        <v>1</v>
      </c>
      <c r="J310">
        <v>4</v>
      </c>
      <c r="K310" t="s">
        <v>19</v>
      </c>
      <c r="L310">
        <v>1</v>
      </c>
      <c r="M310">
        <v>422</v>
      </c>
      <c r="O310">
        <v>4</v>
      </c>
      <c r="P310">
        <v>2</v>
      </c>
      <c r="Q310" t="s">
        <v>29</v>
      </c>
      <c r="R310">
        <v>3</v>
      </c>
      <c r="S310">
        <v>5660</v>
      </c>
      <c r="T310" t="s">
        <v>16</v>
      </c>
    </row>
    <row r="311" spans="1:20" x14ac:dyDescent="0.25">
      <c r="A311">
        <v>31</v>
      </c>
      <c r="B311" t="str">
        <f t="shared" si="4"/>
        <v>25-34</v>
      </c>
      <c r="C311" t="s">
        <v>21</v>
      </c>
      <c r="F311" t="s">
        <v>17</v>
      </c>
      <c r="G311">
        <v>691</v>
      </c>
      <c r="H311" t="s">
        <v>23</v>
      </c>
      <c r="I311">
        <v>5</v>
      </c>
      <c r="J311">
        <v>4</v>
      </c>
      <c r="K311" t="s">
        <v>35</v>
      </c>
      <c r="L311">
        <v>1</v>
      </c>
      <c r="M311">
        <v>423</v>
      </c>
      <c r="O311">
        <v>3</v>
      </c>
      <c r="P311">
        <v>1</v>
      </c>
      <c r="Q311" t="s">
        <v>24</v>
      </c>
      <c r="R311">
        <v>4</v>
      </c>
      <c r="S311">
        <v>4821</v>
      </c>
      <c r="T311" t="s">
        <v>16</v>
      </c>
    </row>
    <row r="312" spans="1:20" x14ac:dyDescent="0.25">
      <c r="A312">
        <v>31</v>
      </c>
      <c r="B312" t="str">
        <f t="shared" si="4"/>
        <v>25-34</v>
      </c>
      <c r="C312" t="s">
        <v>21</v>
      </c>
      <c r="F312" t="s">
        <v>17</v>
      </c>
      <c r="G312">
        <v>106</v>
      </c>
      <c r="H312" t="s">
        <v>36</v>
      </c>
      <c r="I312">
        <v>2</v>
      </c>
      <c r="J312">
        <v>3</v>
      </c>
      <c r="K312" t="s">
        <v>36</v>
      </c>
      <c r="L312">
        <v>1</v>
      </c>
      <c r="M312">
        <v>424</v>
      </c>
      <c r="O312">
        <v>1</v>
      </c>
      <c r="P312">
        <v>2</v>
      </c>
      <c r="Q312" t="s">
        <v>36</v>
      </c>
      <c r="R312">
        <v>1</v>
      </c>
      <c r="S312">
        <v>6410</v>
      </c>
      <c r="T312" t="s">
        <v>21</v>
      </c>
    </row>
    <row r="313" spans="1:20" x14ac:dyDescent="0.25">
      <c r="A313">
        <v>45</v>
      </c>
      <c r="B313" t="str">
        <f t="shared" si="4"/>
        <v>45-54</v>
      </c>
      <c r="C313" t="s">
        <v>21</v>
      </c>
      <c r="F313" t="s">
        <v>22</v>
      </c>
      <c r="G313">
        <v>1249</v>
      </c>
      <c r="H313" t="s">
        <v>23</v>
      </c>
      <c r="I313">
        <v>7</v>
      </c>
      <c r="J313">
        <v>3</v>
      </c>
      <c r="K313" t="s">
        <v>19</v>
      </c>
      <c r="L313">
        <v>1</v>
      </c>
      <c r="M313">
        <v>425</v>
      </c>
      <c r="O313">
        <v>1</v>
      </c>
      <c r="P313">
        <v>3</v>
      </c>
      <c r="Q313" t="s">
        <v>26</v>
      </c>
      <c r="R313">
        <v>1</v>
      </c>
      <c r="S313">
        <v>5210</v>
      </c>
      <c r="T313" t="s">
        <v>21</v>
      </c>
    </row>
    <row r="314" spans="1:20" x14ac:dyDescent="0.25">
      <c r="A314">
        <v>31</v>
      </c>
      <c r="B314" t="str">
        <f t="shared" si="4"/>
        <v>25-34</v>
      </c>
      <c r="C314" t="s">
        <v>21</v>
      </c>
      <c r="F314" t="s">
        <v>17</v>
      </c>
      <c r="G314">
        <v>192</v>
      </c>
      <c r="H314" t="s">
        <v>23</v>
      </c>
      <c r="I314">
        <v>2</v>
      </c>
      <c r="J314">
        <v>4</v>
      </c>
      <c r="K314" t="s">
        <v>19</v>
      </c>
      <c r="L314">
        <v>1</v>
      </c>
      <c r="M314">
        <v>426</v>
      </c>
      <c r="O314">
        <v>3</v>
      </c>
      <c r="P314">
        <v>1</v>
      </c>
      <c r="Q314" t="s">
        <v>24</v>
      </c>
      <c r="R314">
        <v>4</v>
      </c>
      <c r="S314">
        <v>2695</v>
      </c>
      <c r="T314" t="s">
        <v>16</v>
      </c>
    </row>
    <row r="315" spans="1:20" x14ac:dyDescent="0.25">
      <c r="A315">
        <v>33</v>
      </c>
      <c r="B315" t="str">
        <f t="shared" si="4"/>
        <v>25-34</v>
      </c>
      <c r="C315" t="s">
        <v>21</v>
      </c>
      <c r="F315" t="s">
        <v>22</v>
      </c>
      <c r="G315">
        <v>553</v>
      </c>
      <c r="H315" t="s">
        <v>23</v>
      </c>
      <c r="I315">
        <v>5</v>
      </c>
      <c r="J315">
        <v>4</v>
      </c>
      <c r="K315" t="s">
        <v>19</v>
      </c>
      <c r="L315">
        <v>1</v>
      </c>
      <c r="M315">
        <v>428</v>
      </c>
      <c r="O315">
        <v>4</v>
      </c>
      <c r="P315">
        <v>3</v>
      </c>
      <c r="Q315" t="s">
        <v>31</v>
      </c>
      <c r="R315">
        <v>2</v>
      </c>
      <c r="S315">
        <v>11878</v>
      </c>
      <c r="T315" t="s">
        <v>21</v>
      </c>
    </row>
    <row r="316" spans="1:20" x14ac:dyDescent="0.25">
      <c r="A316">
        <v>39</v>
      </c>
      <c r="B316" t="str">
        <f t="shared" si="4"/>
        <v>35-44</v>
      </c>
      <c r="C316" t="s">
        <v>21</v>
      </c>
      <c r="F316" t="s">
        <v>17</v>
      </c>
      <c r="G316">
        <v>117</v>
      </c>
      <c r="H316" t="s">
        <v>23</v>
      </c>
      <c r="I316">
        <v>10</v>
      </c>
      <c r="J316">
        <v>1</v>
      </c>
      <c r="K316" t="s">
        <v>27</v>
      </c>
      <c r="L316">
        <v>1</v>
      </c>
      <c r="M316">
        <v>429</v>
      </c>
      <c r="O316">
        <v>3</v>
      </c>
      <c r="P316">
        <v>4</v>
      </c>
      <c r="Q316" t="s">
        <v>31</v>
      </c>
      <c r="R316">
        <v>1</v>
      </c>
      <c r="S316">
        <v>17068</v>
      </c>
      <c r="T316" t="s">
        <v>16</v>
      </c>
    </row>
    <row r="317" spans="1:20" x14ac:dyDescent="0.25">
      <c r="A317">
        <v>43</v>
      </c>
      <c r="B317" t="str">
        <f t="shared" si="4"/>
        <v>35-44</v>
      </c>
      <c r="C317" t="s">
        <v>21</v>
      </c>
      <c r="F317" t="s">
        <v>22</v>
      </c>
      <c r="G317">
        <v>185</v>
      </c>
      <c r="H317" t="s">
        <v>23</v>
      </c>
      <c r="I317">
        <v>10</v>
      </c>
      <c r="J317">
        <v>4</v>
      </c>
      <c r="K317" t="s">
        <v>19</v>
      </c>
      <c r="L317">
        <v>1</v>
      </c>
      <c r="M317">
        <v>430</v>
      </c>
      <c r="O317">
        <v>3</v>
      </c>
      <c r="P317">
        <v>1</v>
      </c>
      <c r="Q317" t="s">
        <v>26</v>
      </c>
      <c r="R317">
        <v>4</v>
      </c>
      <c r="S317">
        <v>2455</v>
      </c>
      <c r="T317" t="s">
        <v>21</v>
      </c>
    </row>
    <row r="318" spans="1:20" x14ac:dyDescent="0.25">
      <c r="A318">
        <v>49</v>
      </c>
      <c r="B318" t="str">
        <f t="shared" si="4"/>
        <v>45-54</v>
      </c>
      <c r="C318" t="s">
        <v>21</v>
      </c>
      <c r="F318" t="s">
        <v>17</v>
      </c>
      <c r="G318">
        <v>1091</v>
      </c>
      <c r="H318" t="s">
        <v>23</v>
      </c>
      <c r="I318">
        <v>1</v>
      </c>
      <c r="J318">
        <v>2</v>
      </c>
      <c r="K318" t="s">
        <v>35</v>
      </c>
      <c r="L318">
        <v>1</v>
      </c>
      <c r="M318">
        <v>431</v>
      </c>
      <c r="O318">
        <v>3</v>
      </c>
      <c r="P318">
        <v>4</v>
      </c>
      <c r="Q318" t="s">
        <v>29</v>
      </c>
      <c r="R318">
        <v>3</v>
      </c>
      <c r="S318">
        <v>13964</v>
      </c>
      <c r="T318" t="s">
        <v>16</v>
      </c>
    </row>
    <row r="319" spans="1:20" x14ac:dyDescent="0.25">
      <c r="A319">
        <v>52</v>
      </c>
      <c r="B319" t="str">
        <f t="shared" si="4"/>
        <v>45-54</v>
      </c>
      <c r="C319" t="s">
        <v>16</v>
      </c>
      <c r="F319" t="s">
        <v>17</v>
      </c>
      <c r="G319">
        <v>723</v>
      </c>
      <c r="H319" t="s">
        <v>23</v>
      </c>
      <c r="I319">
        <v>8</v>
      </c>
      <c r="J319">
        <v>4</v>
      </c>
      <c r="K319" t="s">
        <v>27</v>
      </c>
      <c r="L319">
        <v>1</v>
      </c>
      <c r="M319">
        <v>433</v>
      </c>
      <c r="O319">
        <v>3</v>
      </c>
      <c r="P319">
        <v>2</v>
      </c>
      <c r="Q319" t="s">
        <v>24</v>
      </c>
      <c r="R319">
        <v>2</v>
      </c>
      <c r="S319">
        <v>4941</v>
      </c>
      <c r="T319" t="s">
        <v>21</v>
      </c>
    </row>
    <row r="320" spans="1:20" x14ac:dyDescent="0.25">
      <c r="A320">
        <v>27</v>
      </c>
      <c r="B320" t="str">
        <f t="shared" si="4"/>
        <v>25-34</v>
      </c>
      <c r="C320" t="s">
        <v>21</v>
      </c>
      <c r="F320" t="s">
        <v>17</v>
      </c>
      <c r="G320">
        <v>1220</v>
      </c>
      <c r="H320" t="s">
        <v>23</v>
      </c>
      <c r="I320">
        <v>5</v>
      </c>
      <c r="J320">
        <v>3</v>
      </c>
      <c r="K320" t="s">
        <v>19</v>
      </c>
      <c r="L320">
        <v>1</v>
      </c>
      <c r="M320">
        <v>434</v>
      </c>
      <c r="O320">
        <v>3</v>
      </c>
      <c r="P320">
        <v>1</v>
      </c>
      <c r="Q320" t="s">
        <v>24</v>
      </c>
      <c r="R320">
        <v>2</v>
      </c>
      <c r="S320">
        <v>2478</v>
      </c>
      <c r="T320" t="s">
        <v>16</v>
      </c>
    </row>
    <row r="321" spans="1:20" x14ac:dyDescent="0.25">
      <c r="A321">
        <v>32</v>
      </c>
      <c r="B321" t="str">
        <f t="shared" si="4"/>
        <v>25-34</v>
      </c>
      <c r="C321" t="s">
        <v>21</v>
      </c>
      <c r="F321" t="s">
        <v>17</v>
      </c>
      <c r="G321">
        <v>588</v>
      </c>
      <c r="H321" t="s">
        <v>18</v>
      </c>
      <c r="I321">
        <v>8</v>
      </c>
      <c r="J321">
        <v>2</v>
      </c>
      <c r="K321" t="s">
        <v>35</v>
      </c>
      <c r="L321">
        <v>1</v>
      </c>
      <c r="M321">
        <v>436</v>
      </c>
      <c r="O321">
        <v>3</v>
      </c>
      <c r="P321">
        <v>2</v>
      </c>
      <c r="Q321" t="s">
        <v>20</v>
      </c>
      <c r="R321">
        <v>2</v>
      </c>
      <c r="S321">
        <v>5228</v>
      </c>
      <c r="T321" t="s">
        <v>16</v>
      </c>
    </row>
    <row r="322" spans="1:20" x14ac:dyDescent="0.25">
      <c r="A322">
        <v>27</v>
      </c>
      <c r="B322" t="str">
        <f t="shared" si="4"/>
        <v>25-34</v>
      </c>
      <c r="C322" t="s">
        <v>21</v>
      </c>
      <c r="F322" t="s">
        <v>17</v>
      </c>
      <c r="G322">
        <v>1377</v>
      </c>
      <c r="H322" t="s">
        <v>18</v>
      </c>
      <c r="I322">
        <v>2</v>
      </c>
      <c r="J322">
        <v>3</v>
      </c>
      <c r="K322" t="s">
        <v>19</v>
      </c>
      <c r="L322">
        <v>1</v>
      </c>
      <c r="M322">
        <v>437</v>
      </c>
      <c r="O322">
        <v>4</v>
      </c>
      <c r="P322">
        <v>2</v>
      </c>
      <c r="Q322" t="s">
        <v>20</v>
      </c>
      <c r="R322">
        <v>3</v>
      </c>
      <c r="S322">
        <v>4478</v>
      </c>
      <c r="T322" t="s">
        <v>16</v>
      </c>
    </row>
    <row r="323" spans="1:20" x14ac:dyDescent="0.25">
      <c r="A323">
        <v>31</v>
      </c>
      <c r="B323" t="str">
        <f t="shared" ref="B323:B386" si="5">IF(A323&lt;=24,"18-24",IF(A323&lt;=34,"25-34",IF(A323&lt;=44,"35-44",IF(A323&lt;=54,"45-54","55+"))))</f>
        <v>25-34</v>
      </c>
      <c r="C323" t="s">
        <v>21</v>
      </c>
      <c r="F323" t="s">
        <v>17</v>
      </c>
      <c r="G323">
        <v>691</v>
      </c>
      <c r="H323" t="s">
        <v>18</v>
      </c>
      <c r="I323">
        <v>7</v>
      </c>
      <c r="J323">
        <v>3</v>
      </c>
      <c r="K323" t="s">
        <v>34</v>
      </c>
      <c r="L323">
        <v>1</v>
      </c>
      <c r="M323">
        <v>438</v>
      </c>
      <c r="O323">
        <v>4</v>
      </c>
      <c r="P323">
        <v>2</v>
      </c>
      <c r="Q323" t="s">
        <v>20</v>
      </c>
      <c r="R323">
        <v>4</v>
      </c>
      <c r="S323">
        <v>7547</v>
      </c>
      <c r="T323" t="s">
        <v>21</v>
      </c>
    </row>
    <row r="324" spans="1:20" x14ac:dyDescent="0.25">
      <c r="A324">
        <v>32</v>
      </c>
      <c r="B324" t="str">
        <f t="shared" si="5"/>
        <v>25-34</v>
      </c>
      <c r="C324" t="s">
        <v>21</v>
      </c>
      <c r="F324" t="s">
        <v>17</v>
      </c>
      <c r="G324">
        <v>1018</v>
      </c>
      <c r="H324" t="s">
        <v>23</v>
      </c>
      <c r="I324">
        <v>2</v>
      </c>
      <c r="J324">
        <v>4</v>
      </c>
      <c r="K324" t="s">
        <v>27</v>
      </c>
      <c r="L324">
        <v>1</v>
      </c>
      <c r="M324">
        <v>439</v>
      </c>
      <c r="O324">
        <v>1</v>
      </c>
      <c r="P324">
        <v>2</v>
      </c>
      <c r="Q324" t="s">
        <v>24</v>
      </c>
      <c r="R324">
        <v>4</v>
      </c>
      <c r="S324">
        <v>5055</v>
      </c>
      <c r="T324" t="s">
        <v>21</v>
      </c>
    </row>
    <row r="325" spans="1:20" x14ac:dyDescent="0.25">
      <c r="A325">
        <v>28</v>
      </c>
      <c r="B325" t="str">
        <f t="shared" si="5"/>
        <v>25-34</v>
      </c>
      <c r="C325" t="s">
        <v>16</v>
      </c>
      <c r="F325" t="s">
        <v>17</v>
      </c>
      <c r="G325">
        <v>1157</v>
      </c>
      <c r="H325" t="s">
        <v>23</v>
      </c>
      <c r="I325">
        <v>2</v>
      </c>
      <c r="J325">
        <v>4</v>
      </c>
      <c r="K325" t="s">
        <v>27</v>
      </c>
      <c r="L325">
        <v>1</v>
      </c>
      <c r="M325">
        <v>440</v>
      </c>
      <c r="O325">
        <v>1</v>
      </c>
      <c r="P325">
        <v>1</v>
      </c>
      <c r="Q325" t="s">
        <v>24</v>
      </c>
      <c r="R325">
        <v>4</v>
      </c>
      <c r="S325">
        <v>3464</v>
      </c>
      <c r="T325" t="s">
        <v>16</v>
      </c>
    </row>
    <row r="326" spans="1:20" x14ac:dyDescent="0.25">
      <c r="A326">
        <v>30</v>
      </c>
      <c r="B326" t="str">
        <f t="shared" si="5"/>
        <v>25-34</v>
      </c>
      <c r="C326" t="s">
        <v>21</v>
      </c>
      <c r="F326" t="s">
        <v>17</v>
      </c>
      <c r="G326">
        <v>1275</v>
      </c>
      <c r="H326" t="s">
        <v>23</v>
      </c>
      <c r="I326">
        <v>28</v>
      </c>
      <c r="J326">
        <v>2</v>
      </c>
      <c r="K326" t="s">
        <v>27</v>
      </c>
      <c r="L326">
        <v>1</v>
      </c>
      <c r="M326">
        <v>441</v>
      </c>
      <c r="O326">
        <v>4</v>
      </c>
      <c r="P326">
        <v>2</v>
      </c>
      <c r="Q326" t="s">
        <v>24</v>
      </c>
      <c r="R326">
        <v>4</v>
      </c>
      <c r="S326">
        <v>5775</v>
      </c>
      <c r="T326" t="s">
        <v>21</v>
      </c>
    </row>
    <row r="327" spans="1:20" x14ac:dyDescent="0.25">
      <c r="A327">
        <v>31</v>
      </c>
      <c r="B327" t="str">
        <f t="shared" si="5"/>
        <v>25-34</v>
      </c>
      <c r="C327" t="s">
        <v>21</v>
      </c>
      <c r="F327" t="s">
        <v>22</v>
      </c>
      <c r="G327">
        <v>798</v>
      </c>
      <c r="H327" t="s">
        <v>23</v>
      </c>
      <c r="I327">
        <v>7</v>
      </c>
      <c r="J327">
        <v>2</v>
      </c>
      <c r="K327" t="s">
        <v>19</v>
      </c>
      <c r="L327">
        <v>1</v>
      </c>
      <c r="M327">
        <v>442</v>
      </c>
      <c r="O327">
        <v>3</v>
      </c>
      <c r="P327">
        <v>3</v>
      </c>
      <c r="Q327" t="s">
        <v>28</v>
      </c>
      <c r="R327">
        <v>3</v>
      </c>
      <c r="S327">
        <v>8943</v>
      </c>
      <c r="T327" t="s">
        <v>21</v>
      </c>
    </row>
    <row r="328" spans="1:20" x14ac:dyDescent="0.25">
      <c r="A328">
        <v>39</v>
      </c>
      <c r="B328" t="str">
        <f t="shared" si="5"/>
        <v>35-44</v>
      </c>
      <c r="C328" t="s">
        <v>21</v>
      </c>
      <c r="F328" t="s">
        <v>22</v>
      </c>
      <c r="G328">
        <v>672</v>
      </c>
      <c r="H328" t="s">
        <v>23</v>
      </c>
      <c r="I328">
        <v>7</v>
      </c>
      <c r="J328">
        <v>2</v>
      </c>
      <c r="K328" t="s">
        <v>27</v>
      </c>
      <c r="L328">
        <v>1</v>
      </c>
      <c r="M328">
        <v>444</v>
      </c>
      <c r="O328">
        <v>3</v>
      </c>
      <c r="P328">
        <v>5</v>
      </c>
      <c r="Q328" t="s">
        <v>31</v>
      </c>
      <c r="R328">
        <v>4</v>
      </c>
      <c r="S328">
        <v>19272</v>
      </c>
      <c r="T328" t="s">
        <v>21</v>
      </c>
    </row>
    <row r="329" spans="1:20" x14ac:dyDescent="0.25">
      <c r="A329">
        <v>39</v>
      </c>
      <c r="B329" t="str">
        <f t="shared" si="5"/>
        <v>35-44</v>
      </c>
      <c r="C329" t="s">
        <v>16</v>
      </c>
      <c r="F329" t="s">
        <v>17</v>
      </c>
      <c r="G329">
        <v>1162</v>
      </c>
      <c r="H329" t="s">
        <v>18</v>
      </c>
      <c r="I329">
        <v>3</v>
      </c>
      <c r="J329">
        <v>2</v>
      </c>
      <c r="K329" t="s">
        <v>27</v>
      </c>
      <c r="L329">
        <v>1</v>
      </c>
      <c r="M329">
        <v>445</v>
      </c>
      <c r="O329">
        <v>4</v>
      </c>
      <c r="P329">
        <v>2</v>
      </c>
      <c r="Q329" t="s">
        <v>20</v>
      </c>
      <c r="R329">
        <v>3</v>
      </c>
      <c r="S329">
        <v>5238</v>
      </c>
      <c r="T329" t="s">
        <v>16</v>
      </c>
    </row>
    <row r="330" spans="1:20" x14ac:dyDescent="0.25">
      <c r="A330">
        <v>33</v>
      </c>
      <c r="B330" t="str">
        <f t="shared" si="5"/>
        <v>25-34</v>
      </c>
      <c r="C330" t="s">
        <v>21</v>
      </c>
      <c r="F330" t="s">
        <v>22</v>
      </c>
      <c r="G330">
        <v>508</v>
      </c>
      <c r="H330" t="s">
        <v>18</v>
      </c>
      <c r="I330">
        <v>10</v>
      </c>
      <c r="J330">
        <v>3</v>
      </c>
      <c r="K330" t="s">
        <v>34</v>
      </c>
      <c r="L330">
        <v>1</v>
      </c>
      <c r="M330">
        <v>446</v>
      </c>
      <c r="O330">
        <v>2</v>
      </c>
      <c r="P330">
        <v>2</v>
      </c>
      <c r="Q330" t="s">
        <v>20</v>
      </c>
      <c r="R330">
        <v>4</v>
      </c>
      <c r="S330">
        <v>4682</v>
      </c>
      <c r="T330" t="s">
        <v>21</v>
      </c>
    </row>
    <row r="331" spans="1:20" x14ac:dyDescent="0.25">
      <c r="A331">
        <v>47</v>
      </c>
      <c r="B331" t="str">
        <f t="shared" si="5"/>
        <v>45-54</v>
      </c>
      <c r="C331" t="s">
        <v>21</v>
      </c>
      <c r="F331" t="s">
        <v>17</v>
      </c>
      <c r="G331">
        <v>1482</v>
      </c>
      <c r="H331" t="s">
        <v>23</v>
      </c>
      <c r="I331">
        <v>5</v>
      </c>
      <c r="J331">
        <v>5</v>
      </c>
      <c r="K331" t="s">
        <v>19</v>
      </c>
      <c r="L331">
        <v>1</v>
      </c>
      <c r="M331">
        <v>447</v>
      </c>
      <c r="O331">
        <v>4</v>
      </c>
      <c r="P331">
        <v>5</v>
      </c>
      <c r="Q331" t="s">
        <v>33</v>
      </c>
      <c r="R331">
        <v>3</v>
      </c>
      <c r="S331">
        <v>18300</v>
      </c>
      <c r="T331" t="s">
        <v>21</v>
      </c>
    </row>
    <row r="332" spans="1:20" x14ac:dyDescent="0.25">
      <c r="A332">
        <v>43</v>
      </c>
      <c r="B332" t="str">
        <f t="shared" si="5"/>
        <v>35-44</v>
      </c>
      <c r="C332" t="s">
        <v>21</v>
      </c>
      <c r="F332" t="s">
        <v>22</v>
      </c>
      <c r="G332">
        <v>559</v>
      </c>
      <c r="H332" t="s">
        <v>23</v>
      </c>
      <c r="I332">
        <v>10</v>
      </c>
      <c r="J332">
        <v>4</v>
      </c>
      <c r="K332" t="s">
        <v>19</v>
      </c>
      <c r="L332">
        <v>1</v>
      </c>
      <c r="M332">
        <v>448</v>
      </c>
      <c r="O332">
        <v>3</v>
      </c>
      <c r="P332">
        <v>2</v>
      </c>
      <c r="Q332" t="s">
        <v>26</v>
      </c>
      <c r="R332">
        <v>3</v>
      </c>
      <c r="S332">
        <v>5257</v>
      </c>
      <c r="T332" t="s">
        <v>21</v>
      </c>
    </row>
    <row r="333" spans="1:20" x14ac:dyDescent="0.25">
      <c r="A333">
        <v>27</v>
      </c>
      <c r="B333" t="str">
        <f t="shared" si="5"/>
        <v>25-34</v>
      </c>
      <c r="C333" t="s">
        <v>21</v>
      </c>
      <c r="F333" t="s">
        <v>30</v>
      </c>
      <c r="G333">
        <v>210</v>
      </c>
      <c r="H333" t="s">
        <v>18</v>
      </c>
      <c r="I333">
        <v>1</v>
      </c>
      <c r="J333">
        <v>1</v>
      </c>
      <c r="K333" t="s">
        <v>34</v>
      </c>
      <c r="L333">
        <v>1</v>
      </c>
      <c r="M333">
        <v>449</v>
      </c>
      <c r="O333">
        <v>3</v>
      </c>
      <c r="P333">
        <v>2</v>
      </c>
      <c r="Q333" t="s">
        <v>20</v>
      </c>
      <c r="R333">
        <v>2</v>
      </c>
      <c r="S333">
        <v>6349</v>
      </c>
      <c r="T333" t="s">
        <v>16</v>
      </c>
    </row>
    <row r="334" spans="1:20" x14ac:dyDescent="0.25">
      <c r="A334">
        <v>54</v>
      </c>
      <c r="B334" t="str">
        <f t="shared" si="5"/>
        <v>45-54</v>
      </c>
      <c r="C334" t="s">
        <v>21</v>
      </c>
      <c r="F334" t="s">
        <v>22</v>
      </c>
      <c r="G334">
        <v>928</v>
      </c>
      <c r="H334" t="s">
        <v>23</v>
      </c>
      <c r="I334">
        <v>20</v>
      </c>
      <c r="J334">
        <v>4</v>
      </c>
      <c r="K334" t="s">
        <v>19</v>
      </c>
      <c r="L334">
        <v>1</v>
      </c>
      <c r="M334">
        <v>450</v>
      </c>
      <c r="O334">
        <v>4</v>
      </c>
      <c r="P334">
        <v>2</v>
      </c>
      <c r="Q334" t="s">
        <v>24</v>
      </c>
      <c r="R334">
        <v>3</v>
      </c>
      <c r="S334">
        <v>4869</v>
      </c>
      <c r="T334" t="s">
        <v>21</v>
      </c>
    </row>
    <row r="335" spans="1:20" x14ac:dyDescent="0.25">
      <c r="A335">
        <v>43</v>
      </c>
      <c r="B335" t="str">
        <f t="shared" si="5"/>
        <v>35-44</v>
      </c>
      <c r="C335" t="s">
        <v>21</v>
      </c>
      <c r="F335" t="s">
        <v>17</v>
      </c>
      <c r="G335">
        <v>1001</v>
      </c>
      <c r="H335" t="s">
        <v>23</v>
      </c>
      <c r="I335">
        <v>7</v>
      </c>
      <c r="J335">
        <v>3</v>
      </c>
      <c r="K335" t="s">
        <v>19</v>
      </c>
      <c r="L335">
        <v>1</v>
      </c>
      <c r="M335">
        <v>451</v>
      </c>
      <c r="O335">
        <v>3</v>
      </c>
      <c r="P335">
        <v>3</v>
      </c>
      <c r="Q335" t="s">
        <v>29</v>
      </c>
      <c r="R335">
        <v>1</v>
      </c>
      <c r="S335">
        <v>9985</v>
      </c>
      <c r="T335" t="s">
        <v>21</v>
      </c>
    </row>
    <row r="336" spans="1:20" x14ac:dyDescent="0.25">
      <c r="A336">
        <v>45</v>
      </c>
      <c r="B336" t="str">
        <f t="shared" si="5"/>
        <v>45-54</v>
      </c>
      <c r="C336" t="s">
        <v>21</v>
      </c>
      <c r="F336" t="s">
        <v>17</v>
      </c>
      <c r="G336">
        <v>549</v>
      </c>
      <c r="H336" t="s">
        <v>23</v>
      </c>
      <c r="I336">
        <v>8</v>
      </c>
      <c r="J336">
        <v>4</v>
      </c>
      <c r="K336" t="s">
        <v>25</v>
      </c>
      <c r="L336">
        <v>1</v>
      </c>
      <c r="M336">
        <v>452</v>
      </c>
      <c r="O336">
        <v>4</v>
      </c>
      <c r="P336">
        <v>2</v>
      </c>
      <c r="Q336" t="s">
        <v>24</v>
      </c>
      <c r="R336">
        <v>4</v>
      </c>
      <c r="S336">
        <v>3697</v>
      </c>
      <c r="T336" t="s">
        <v>21</v>
      </c>
    </row>
    <row r="337" spans="1:20" x14ac:dyDescent="0.25">
      <c r="A337">
        <v>40</v>
      </c>
      <c r="B337" t="str">
        <f t="shared" si="5"/>
        <v>35-44</v>
      </c>
      <c r="C337" t="s">
        <v>21</v>
      </c>
      <c r="F337" t="s">
        <v>17</v>
      </c>
      <c r="G337">
        <v>1124</v>
      </c>
      <c r="H337" t="s">
        <v>18</v>
      </c>
      <c r="I337">
        <v>1</v>
      </c>
      <c r="J337">
        <v>2</v>
      </c>
      <c r="K337" t="s">
        <v>27</v>
      </c>
      <c r="L337">
        <v>1</v>
      </c>
      <c r="M337">
        <v>453</v>
      </c>
      <c r="O337">
        <v>2</v>
      </c>
      <c r="P337">
        <v>2</v>
      </c>
      <c r="Q337" t="s">
        <v>20</v>
      </c>
      <c r="R337">
        <v>4</v>
      </c>
      <c r="S337">
        <v>7457</v>
      </c>
      <c r="T337" t="s">
        <v>16</v>
      </c>
    </row>
    <row r="338" spans="1:20" x14ac:dyDescent="0.25">
      <c r="A338">
        <v>29</v>
      </c>
      <c r="B338" t="str">
        <f t="shared" si="5"/>
        <v>25-34</v>
      </c>
      <c r="C338" t="s">
        <v>16</v>
      </c>
      <c r="F338" t="s">
        <v>17</v>
      </c>
      <c r="G338">
        <v>318</v>
      </c>
      <c r="H338" t="s">
        <v>23</v>
      </c>
      <c r="I338">
        <v>8</v>
      </c>
      <c r="J338">
        <v>4</v>
      </c>
      <c r="K338" t="s">
        <v>25</v>
      </c>
      <c r="L338">
        <v>1</v>
      </c>
      <c r="M338">
        <v>454</v>
      </c>
      <c r="O338">
        <v>2</v>
      </c>
      <c r="P338">
        <v>1</v>
      </c>
      <c r="Q338" t="s">
        <v>26</v>
      </c>
      <c r="R338">
        <v>1</v>
      </c>
      <c r="S338">
        <v>2119</v>
      </c>
      <c r="T338" t="s">
        <v>16</v>
      </c>
    </row>
    <row r="339" spans="1:20" x14ac:dyDescent="0.25">
      <c r="A339">
        <v>29</v>
      </c>
      <c r="B339" t="str">
        <f t="shared" si="5"/>
        <v>25-34</v>
      </c>
      <c r="C339" t="s">
        <v>21</v>
      </c>
      <c r="F339" t="s">
        <v>17</v>
      </c>
      <c r="G339">
        <v>738</v>
      </c>
      <c r="H339" t="s">
        <v>23</v>
      </c>
      <c r="I339">
        <v>9</v>
      </c>
      <c r="J339">
        <v>5</v>
      </c>
      <c r="K339" t="s">
        <v>25</v>
      </c>
      <c r="L339">
        <v>1</v>
      </c>
      <c r="M339">
        <v>455</v>
      </c>
      <c r="O339">
        <v>2</v>
      </c>
      <c r="P339">
        <v>1</v>
      </c>
      <c r="Q339" t="s">
        <v>26</v>
      </c>
      <c r="R339">
        <v>4</v>
      </c>
      <c r="S339">
        <v>3983</v>
      </c>
      <c r="T339" t="s">
        <v>21</v>
      </c>
    </row>
    <row r="340" spans="1:20" x14ac:dyDescent="0.25">
      <c r="A340">
        <v>30</v>
      </c>
      <c r="B340" t="str">
        <f t="shared" si="5"/>
        <v>25-34</v>
      </c>
      <c r="C340" t="s">
        <v>21</v>
      </c>
      <c r="F340" t="s">
        <v>17</v>
      </c>
      <c r="G340">
        <v>570</v>
      </c>
      <c r="H340" t="s">
        <v>18</v>
      </c>
      <c r="I340">
        <v>5</v>
      </c>
      <c r="J340">
        <v>3</v>
      </c>
      <c r="K340" t="s">
        <v>34</v>
      </c>
      <c r="L340">
        <v>1</v>
      </c>
      <c r="M340">
        <v>456</v>
      </c>
      <c r="O340">
        <v>4</v>
      </c>
      <c r="P340">
        <v>2</v>
      </c>
      <c r="Q340" t="s">
        <v>20</v>
      </c>
      <c r="R340">
        <v>3</v>
      </c>
      <c r="S340">
        <v>6118</v>
      </c>
      <c r="T340" t="s">
        <v>21</v>
      </c>
    </row>
    <row r="341" spans="1:20" x14ac:dyDescent="0.25">
      <c r="A341">
        <v>27</v>
      </c>
      <c r="B341" t="str">
        <f t="shared" si="5"/>
        <v>25-34</v>
      </c>
      <c r="C341" t="s">
        <v>21</v>
      </c>
      <c r="F341" t="s">
        <v>17</v>
      </c>
      <c r="G341">
        <v>1130</v>
      </c>
      <c r="H341" t="s">
        <v>18</v>
      </c>
      <c r="I341">
        <v>8</v>
      </c>
      <c r="J341">
        <v>4</v>
      </c>
      <c r="K341" t="s">
        <v>34</v>
      </c>
      <c r="L341">
        <v>1</v>
      </c>
      <c r="M341">
        <v>458</v>
      </c>
      <c r="O341">
        <v>2</v>
      </c>
      <c r="P341">
        <v>2</v>
      </c>
      <c r="Q341" t="s">
        <v>20</v>
      </c>
      <c r="R341">
        <v>2</v>
      </c>
      <c r="S341">
        <v>6214</v>
      </c>
      <c r="T341" t="s">
        <v>21</v>
      </c>
    </row>
    <row r="342" spans="1:20" x14ac:dyDescent="0.25">
      <c r="A342">
        <v>37</v>
      </c>
      <c r="B342" t="str">
        <f t="shared" si="5"/>
        <v>35-44</v>
      </c>
      <c r="C342" t="s">
        <v>21</v>
      </c>
      <c r="F342" t="s">
        <v>17</v>
      </c>
      <c r="G342">
        <v>1192</v>
      </c>
      <c r="H342" t="s">
        <v>23</v>
      </c>
      <c r="I342">
        <v>5</v>
      </c>
      <c r="J342">
        <v>2</v>
      </c>
      <c r="K342" t="s">
        <v>27</v>
      </c>
      <c r="L342">
        <v>1</v>
      </c>
      <c r="M342">
        <v>460</v>
      </c>
      <c r="O342">
        <v>4</v>
      </c>
      <c r="P342">
        <v>2</v>
      </c>
      <c r="Q342" t="s">
        <v>28</v>
      </c>
      <c r="R342">
        <v>4</v>
      </c>
      <c r="S342">
        <v>6347</v>
      </c>
      <c r="T342" t="s">
        <v>21</v>
      </c>
    </row>
    <row r="343" spans="1:20" x14ac:dyDescent="0.25">
      <c r="A343">
        <v>38</v>
      </c>
      <c r="B343" t="str">
        <f t="shared" si="5"/>
        <v>35-44</v>
      </c>
      <c r="C343" t="s">
        <v>21</v>
      </c>
      <c r="F343" t="s">
        <v>17</v>
      </c>
      <c r="G343">
        <v>343</v>
      </c>
      <c r="H343" t="s">
        <v>23</v>
      </c>
      <c r="I343">
        <v>15</v>
      </c>
      <c r="J343">
        <v>2</v>
      </c>
      <c r="K343" t="s">
        <v>19</v>
      </c>
      <c r="L343">
        <v>1</v>
      </c>
      <c r="M343">
        <v>461</v>
      </c>
      <c r="O343">
        <v>3</v>
      </c>
      <c r="P343">
        <v>3</v>
      </c>
      <c r="Q343" t="s">
        <v>33</v>
      </c>
      <c r="R343">
        <v>4</v>
      </c>
      <c r="S343">
        <v>11510</v>
      </c>
      <c r="T343" t="s">
        <v>16</v>
      </c>
    </row>
    <row r="344" spans="1:20" x14ac:dyDescent="0.25">
      <c r="A344">
        <v>31</v>
      </c>
      <c r="B344" t="str">
        <f t="shared" si="5"/>
        <v>25-34</v>
      </c>
      <c r="C344" t="s">
        <v>21</v>
      </c>
      <c r="F344" t="s">
        <v>17</v>
      </c>
      <c r="G344">
        <v>1232</v>
      </c>
      <c r="H344" t="s">
        <v>23</v>
      </c>
      <c r="I344">
        <v>7</v>
      </c>
      <c r="J344">
        <v>4</v>
      </c>
      <c r="K344" t="s">
        <v>27</v>
      </c>
      <c r="L344">
        <v>1</v>
      </c>
      <c r="M344">
        <v>462</v>
      </c>
      <c r="O344">
        <v>3</v>
      </c>
      <c r="P344">
        <v>3</v>
      </c>
      <c r="Q344" t="s">
        <v>28</v>
      </c>
      <c r="R344">
        <v>4</v>
      </c>
      <c r="S344">
        <v>7143</v>
      </c>
      <c r="T344" t="s">
        <v>16</v>
      </c>
    </row>
    <row r="345" spans="1:20" x14ac:dyDescent="0.25">
      <c r="A345">
        <v>29</v>
      </c>
      <c r="B345" t="str">
        <f t="shared" si="5"/>
        <v>25-34</v>
      </c>
      <c r="C345" t="s">
        <v>21</v>
      </c>
      <c r="F345" t="s">
        <v>17</v>
      </c>
      <c r="G345">
        <v>144</v>
      </c>
      <c r="H345" t="s">
        <v>18</v>
      </c>
      <c r="I345">
        <v>10</v>
      </c>
      <c r="J345">
        <v>1</v>
      </c>
      <c r="K345" t="s">
        <v>34</v>
      </c>
      <c r="L345">
        <v>1</v>
      </c>
      <c r="M345">
        <v>463</v>
      </c>
      <c r="O345">
        <v>4</v>
      </c>
      <c r="P345">
        <v>2</v>
      </c>
      <c r="Q345" t="s">
        <v>20</v>
      </c>
      <c r="R345">
        <v>2</v>
      </c>
      <c r="S345">
        <v>8268</v>
      </c>
      <c r="T345" t="s">
        <v>16</v>
      </c>
    </row>
    <row r="346" spans="1:20" x14ac:dyDescent="0.25">
      <c r="A346">
        <v>35</v>
      </c>
      <c r="B346" t="str">
        <f t="shared" si="5"/>
        <v>35-44</v>
      </c>
      <c r="C346" t="s">
        <v>21</v>
      </c>
      <c r="F346" t="s">
        <v>17</v>
      </c>
      <c r="G346">
        <v>1296</v>
      </c>
      <c r="H346" t="s">
        <v>23</v>
      </c>
      <c r="I346">
        <v>5</v>
      </c>
      <c r="J346">
        <v>4</v>
      </c>
      <c r="K346" t="s">
        <v>35</v>
      </c>
      <c r="L346">
        <v>1</v>
      </c>
      <c r="M346">
        <v>464</v>
      </c>
      <c r="O346">
        <v>3</v>
      </c>
      <c r="P346">
        <v>3</v>
      </c>
      <c r="Q346" t="s">
        <v>28</v>
      </c>
      <c r="R346">
        <v>2</v>
      </c>
      <c r="S346">
        <v>8095</v>
      </c>
      <c r="T346" t="s">
        <v>21</v>
      </c>
    </row>
    <row r="347" spans="1:20" x14ac:dyDescent="0.25">
      <c r="A347">
        <v>23</v>
      </c>
      <c r="B347" t="str">
        <f t="shared" si="5"/>
        <v>18-24</v>
      </c>
      <c r="C347" t="s">
        <v>21</v>
      </c>
      <c r="F347" t="s">
        <v>17</v>
      </c>
      <c r="G347">
        <v>1309</v>
      </c>
      <c r="H347" t="s">
        <v>23</v>
      </c>
      <c r="I347">
        <v>26</v>
      </c>
      <c r="J347">
        <v>1</v>
      </c>
      <c r="K347" t="s">
        <v>19</v>
      </c>
      <c r="L347">
        <v>1</v>
      </c>
      <c r="M347">
        <v>465</v>
      </c>
      <c r="O347">
        <v>3</v>
      </c>
      <c r="P347">
        <v>1</v>
      </c>
      <c r="Q347" t="s">
        <v>24</v>
      </c>
      <c r="R347">
        <v>4</v>
      </c>
      <c r="S347">
        <v>2904</v>
      </c>
      <c r="T347" t="s">
        <v>21</v>
      </c>
    </row>
    <row r="348" spans="1:20" x14ac:dyDescent="0.25">
      <c r="A348">
        <v>41</v>
      </c>
      <c r="B348" t="str">
        <f t="shared" si="5"/>
        <v>35-44</v>
      </c>
      <c r="C348" t="s">
        <v>21</v>
      </c>
      <c r="F348" t="s">
        <v>17</v>
      </c>
      <c r="G348">
        <v>483</v>
      </c>
      <c r="H348" t="s">
        <v>23</v>
      </c>
      <c r="I348">
        <v>6</v>
      </c>
      <c r="J348">
        <v>3</v>
      </c>
      <c r="K348" t="s">
        <v>27</v>
      </c>
      <c r="L348">
        <v>1</v>
      </c>
      <c r="M348">
        <v>466</v>
      </c>
      <c r="O348">
        <v>4</v>
      </c>
      <c r="P348">
        <v>2</v>
      </c>
      <c r="Q348" t="s">
        <v>28</v>
      </c>
      <c r="R348">
        <v>2</v>
      </c>
      <c r="S348">
        <v>6032</v>
      </c>
      <c r="T348" t="s">
        <v>16</v>
      </c>
    </row>
    <row r="349" spans="1:20" x14ac:dyDescent="0.25">
      <c r="A349">
        <v>47</v>
      </c>
      <c r="B349" t="str">
        <f t="shared" si="5"/>
        <v>45-54</v>
      </c>
      <c r="C349" t="s">
        <v>21</v>
      </c>
      <c r="F349" t="s">
        <v>22</v>
      </c>
      <c r="G349">
        <v>1309</v>
      </c>
      <c r="H349" t="s">
        <v>18</v>
      </c>
      <c r="I349">
        <v>4</v>
      </c>
      <c r="J349">
        <v>1</v>
      </c>
      <c r="K349" t="s">
        <v>27</v>
      </c>
      <c r="L349">
        <v>1</v>
      </c>
      <c r="M349">
        <v>467</v>
      </c>
      <c r="O349">
        <v>2</v>
      </c>
      <c r="P349">
        <v>2</v>
      </c>
      <c r="Q349" t="s">
        <v>32</v>
      </c>
      <c r="R349">
        <v>3</v>
      </c>
      <c r="S349">
        <v>2976</v>
      </c>
      <c r="T349" t="s">
        <v>21</v>
      </c>
    </row>
    <row r="350" spans="1:20" x14ac:dyDescent="0.25">
      <c r="A350">
        <v>42</v>
      </c>
      <c r="B350" t="str">
        <f t="shared" si="5"/>
        <v>35-44</v>
      </c>
      <c r="C350" t="s">
        <v>21</v>
      </c>
      <c r="F350" t="s">
        <v>17</v>
      </c>
      <c r="G350">
        <v>810</v>
      </c>
      <c r="H350" t="s">
        <v>23</v>
      </c>
      <c r="I350">
        <v>23</v>
      </c>
      <c r="J350">
        <v>5</v>
      </c>
      <c r="K350" t="s">
        <v>19</v>
      </c>
      <c r="L350">
        <v>1</v>
      </c>
      <c r="M350">
        <v>468</v>
      </c>
      <c r="O350">
        <v>1</v>
      </c>
      <c r="P350">
        <v>4</v>
      </c>
      <c r="Q350" t="s">
        <v>33</v>
      </c>
      <c r="R350">
        <v>4</v>
      </c>
      <c r="S350">
        <v>15992</v>
      </c>
      <c r="T350" t="s">
        <v>21</v>
      </c>
    </row>
    <row r="351" spans="1:20" x14ac:dyDescent="0.25">
      <c r="A351">
        <v>29</v>
      </c>
      <c r="B351" t="str">
        <f t="shared" si="5"/>
        <v>25-34</v>
      </c>
      <c r="C351" t="s">
        <v>21</v>
      </c>
      <c r="F351" t="s">
        <v>30</v>
      </c>
      <c r="G351">
        <v>746</v>
      </c>
      <c r="H351" t="s">
        <v>18</v>
      </c>
      <c r="I351">
        <v>2</v>
      </c>
      <c r="J351">
        <v>3</v>
      </c>
      <c r="K351" t="s">
        <v>19</v>
      </c>
      <c r="L351">
        <v>1</v>
      </c>
      <c r="M351">
        <v>469</v>
      </c>
      <c r="O351">
        <v>4</v>
      </c>
      <c r="P351">
        <v>2</v>
      </c>
      <c r="Q351" t="s">
        <v>20</v>
      </c>
      <c r="R351">
        <v>3</v>
      </c>
      <c r="S351">
        <v>4649</v>
      </c>
      <c r="T351" t="s">
        <v>21</v>
      </c>
    </row>
    <row r="352" spans="1:20" x14ac:dyDescent="0.25">
      <c r="A352">
        <v>42</v>
      </c>
      <c r="B352" t="str">
        <f t="shared" si="5"/>
        <v>35-44</v>
      </c>
      <c r="C352" t="s">
        <v>21</v>
      </c>
      <c r="F352" t="s">
        <v>17</v>
      </c>
      <c r="G352">
        <v>544</v>
      </c>
      <c r="H352" t="s">
        <v>36</v>
      </c>
      <c r="I352">
        <v>2</v>
      </c>
      <c r="J352">
        <v>1</v>
      </c>
      <c r="K352" t="s">
        <v>35</v>
      </c>
      <c r="L352">
        <v>1</v>
      </c>
      <c r="M352">
        <v>470</v>
      </c>
      <c r="O352">
        <v>3</v>
      </c>
      <c r="P352">
        <v>1</v>
      </c>
      <c r="Q352" t="s">
        <v>36</v>
      </c>
      <c r="R352">
        <v>3</v>
      </c>
      <c r="S352">
        <v>2696</v>
      </c>
      <c r="T352" t="s">
        <v>16</v>
      </c>
    </row>
    <row r="353" spans="1:20" x14ac:dyDescent="0.25">
      <c r="A353">
        <v>32</v>
      </c>
      <c r="B353" t="str">
        <f t="shared" si="5"/>
        <v>25-34</v>
      </c>
      <c r="C353" t="s">
        <v>21</v>
      </c>
      <c r="F353" t="s">
        <v>17</v>
      </c>
      <c r="G353">
        <v>1062</v>
      </c>
      <c r="H353" t="s">
        <v>23</v>
      </c>
      <c r="I353">
        <v>2</v>
      </c>
      <c r="J353">
        <v>3</v>
      </c>
      <c r="K353" t="s">
        <v>27</v>
      </c>
      <c r="L353">
        <v>1</v>
      </c>
      <c r="M353">
        <v>471</v>
      </c>
      <c r="O353">
        <v>3</v>
      </c>
      <c r="P353">
        <v>1</v>
      </c>
      <c r="Q353" t="s">
        <v>26</v>
      </c>
      <c r="R353">
        <v>2</v>
      </c>
      <c r="S353">
        <v>2370</v>
      </c>
      <c r="T353" t="s">
        <v>21</v>
      </c>
    </row>
    <row r="354" spans="1:20" x14ac:dyDescent="0.25">
      <c r="A354">
        <v>48</v>
      </c>
      <c r="B354" t="str">
        <f t="shared" si="5"/>
        <v>45-54</v>
      </c>
      <c r="C354" t="s">
        <v>21</v>
      </c>
      <c r="F354" t="s">
        <v>17</v>
      </c>
      <c r="G354">
        <v>530</v>
      </c>
      <c r="H354" t="s">
        <v>18</v>
      </c>
      <c r="I354">
        <v>29</v>
      </c>
      <c r="J354">
        <v>1</v>
      </c>
      <c r="K354" t="s">
        <v>27</v>
      </c>
      <c r="L354">
        <v>1</v>
      </c>
      <c r="M354">
        <v>473</v>
      </c>
      <c r="O354">
        <v>1</v>
      </c>
      <c r="P354">
        <v>3</v>
      </c>
      <c r="Q354" t="s">
        <v>31</v>
      </c>
      <c r="R354">
        <v>3</v>
      </c>
      <c r="S354">
        <v>12504</v>
      </c>
      <c r="T354" t="s">
        <v>21</v>
      </c>
    </row>
    <row r="355" spans="1:20" x14ac:dyDescent="0.25">
      <c r="A355">
        <v>37</v>
      </c>
      <c r="B355" t="str">
        <f t="shared" si="5"/>
        <v>35-44</v>
      </c>
      <c r="C355" t="s">
        <v>21</v>
      </c>
      <c r="F355" t="s">
        <v>17</v>
      </c>
      <c r="G355">
        <v>1319</v>
      </c>
      <c r="H355" t="s">
        <v>23</v>
      </c>
      <c r="I355">
        <v>6</v>
      </c>
      <c r="J355">
        <v>3</v>
      </c>
      <c r="K355" t="s">
        <v>27</v>
      </c>
      <c r="L355">
        <v>1</v>
      </c>
      <c r="M355">
        <v>474</v>
      </c>
      <c r="O355">
        <v>3</v>
      </c>
      <c r="P355">
        <v>2</v>
      </c>
      <c r="Q355" t="s">
        <v>24</v>
      </c>
      <c r="R355">
        <v>1</v>
      </c>
      <c r="S355">
        <v>5974</v>
      </c>
      <c r="T355" t="s">
        <v>16</v>
      </c>
    </row>
    <row r="356" spans="1:20" x14ac:dyDescent="0.25">
      <c r="A356">
        <v>30</v>
      </c>
      <c r="B356" t="str">
        <f t="shared" si="5"/>
        <v>25-34</v>
      </c>
      <c r="C356" t="s">
        <v>21</v>
      </c>
      <c r="F356" t="s">
        <v>30</v>
      </c>
      <c r="G356">
        <v>641</v>
      </c>
      <c r="H356" t="s">
        <v>18</v>
      </c>
      <c r="I356">
        <v>25</v>
      </c>
      <c r="J356">
        <v>2</v>
      </c>
      <c r="K356" t="s">
        <v>35</v>
      </c>
      <c r="L356">
        <v>1</v>
      </c>
      <c r="M356">
        <v>475</v>
      </c>
      <c r="O356">
        <v>4</v>
      </c>
      <c r="P356">
        <v>2</v>
      </c>
      <c r="Q356" t="s">
        <v>20</v>
      </c>
      <c r="R356">
        <v>3</v>
      </c>
      <c r="S356">
        <v>4736</v>
      </c>
      <c r="T356" t="s">
        <v>16</v>
      </c>
    </row>
    <row r="357" spans="1:20" x14ac:dyDescent="0.25">
      <c r="A357">
        <v>26</v>
      </c>
      <c r="B357" t="str">
        <f t="shared" si="5"/>
        <v>25-34</v>
      </c>
      <c r="C357" t="s">
        <v>21</v>
      </c>
      <c r="F357" t="s">
        <v>17</v>
      </c>
      <c r="G357">
        <v>933</v>
      </c>
      <c r="H357" t="s">
        <v>18</v>
      </c>
      <c r="I357">
        <v>1</v>
      </c>
      <c r="J357">
        <v>3</v>
      </c>
      <c r="K357" t="s">
        <v>19</v>
      </c>
      <c r="L357">
        <v>1</v>
      </c>
      <c r="M357">
        <v>476</v>
      </c>
      <c r="O357">
        <v>3</v>
      </c>
      <c r="P357">
        <v>2</v>
      </c>
      <c r="Q357" t="s">
        <v>20</v>
      </c>
      <c r="R357">
        <v>3</v>
      </c>
      <c r="S357">
        <v>5296</v>
      </c>
      <c r="T357" t="s">
        <v>21</v>
      </c>
    </row>
    <row r="358" spans="1:20" x14ac:dyDescent="0.25">
      <c r="A358">
        <v>42</v>
      </c>
      <c r="B358" t="str">
        <f t="shared" si="5"/>
        <v>35-44</v>
      </c>
      <c r="C358" t="s">
        <v>21</v>
      </c>
      <c r="F358" t="s">
        <v>17</v>
      </c>
      <c r="G358">
        <v>1332</v>
      </c>
      <c r="H358" t="s">
        <v>23</v>
      </c>
      <c r="I358">
        <v>2</v>
      </c>
      <c r="J358">
        <v>4</v>
      </c>
      <c r="K358" t="s">
        <v>25</v>
      </c>
      <c r="L358">
        <v>1</v>
      </c>
      <c r="M358">
        <v>477</v>
      </c>
      <c r="O358">
        <v>1</v>
      </c>
      <c r="P358">
        <v>2</v>
      </c>
      <c r="Q358" t="s">
        <v>29</v>
      </c>
      <c r="R358">
        <v>4</v>
      </c>
      <c r="S358">
        <v>6781</v>
      </c>
      <c r="T358" t="s">
        <v>21</v>
      </c>
    </row>
    <row r="359" spans="1:20" x14ac:dyDescent="0.25">
      <c r="A359">
        <v>21</v>
      </c>
      <c r="B359" t="str">
        <f t="shared" si="5"/>
        <v>18-24</v>
      </c>
      <c r="C359" t="s">
        <v>16</v>
      </c>
      <c r="F359" t="s">
        <v>22</v>
      </c>
      <c r="G359">
        <v>756</v>
      </c>
      <c r="H359" t="s">
        <v>18</v>
      </c>
      <c r="I359">
        <v>1</v>
      </c>
      <c r="J359">
        <v>1</v>
      </c>
      <c r="K359" t="s">
        <v>35</v>
      </c>
      <c r="L359">
        <v>1</v>
      </c>
      <c r="M359">
        <v>478</v>
      </c>
      <c r="O359">
        <v>1</v>
      </c>
      <c r="P359">
        <v>1</v>
      </c>
      <c r="Q359" t="s">
        <v>32</v>
      </c>
      <c r="R359">
        <v>2</v>
      </c>
      <c r="S359">
        <v>2174</v>
      </c>
      <c r="T359" t="s">
        <v>16</v>
      </c>
    </row>
    <row r="360" spans="1:20" x14ac:dyDescent="0.25">
      <c r="A360">
        <v>36</v>
      </c>
      <c r="B360" t="str">
        <f t="shared" si="5"/>
        <v>35-44</v>
      </c>
      <c r="C360" t="s">
        <v>21</v>
      </c>
      <c r="F360" t="s">
        <v>30</v>
      </c>
      <c r="G360">
        <v>845</v>
      </c>
      <c r="H360" t="s">
        <v>18</v>
      </c>
      <c r="I360">
        <v>1</v>
      </c>
      <c r="J360">
        <v>5</v>
      </c>
      <c r="K360" t="s">
        <v>27</v>
      </c>
      <c r="L360">
        <v>1</v>
      </c>
      <c r="M360">
        <v>479</v>
      </c>
      <c r="O360">
        <v>4</v>
      </c>
      <c r="P360">
        <v>2</v>
      </c>
      <c r="Q360" t="s">
        <v>20</v>
      </c>
      <c r="R360">
        <v>4</v>
      </c>
      <c r="S360">
        <v>6653</v>
      </c>
      <c r="T360" t="s">
        <v>21</v>
      </c>
    </row>
    <row r="361" spans="1:20" x14ac:dyDescent="0.25">
      <c r="A361">
        <v>36</v>
      </c>
      <c r="B361" t="str">
        <f t="shared" si="5"/>
        <v>35-44</v>
      </c>
      <c r="C361" t="s">
        <v>21</v>
      </c>
      <c r="F361" t="s">
        <v>22</v>
      </c>
      <c r="G361">
        <v>541</v>
      </c>
      <c r="H361" t="s">
        <v>18</v>
      </c>
      <c r="I361">
        <v>3</v>
      </c>
      <c r="J361">
        <v>4</v>
      </c>
      <c r="K361" t="s">
        <v>27</v>
      </c>
      <c r="L361">
        <v>1</v>
      </c>
      <c r="M361">
        <v>481</v>
      </c>
      <c r="O361">
        <v>1</v>
      </c>
      <c r="P361">
        <v>3</v>
      </c>
      <c r="Q361" t="s">
        <v>20</v>
      </c>
      <c r="R361">
        <v>4</v>
      </c>
      <c r="S361">
        <v>9699</v>
      </c>
      <c r="T361" t="s">
        <v>21</v>
      </c>
    </row>
    <row r="362" spans="1:20" x14ac:dyDescent="0.25">
      <c r="A362">
        <v>57</v>
      </c>
      <c r="B362" t="str">
        <f t="shared" si="5"/>
        <v>55+</v>
      </c>
      <c r="C362" t="s">
        <v>21</v>
      </c>
      <c r="F362" t="s">
        <v>17</v>
      </c>
      <c r="G362">
        <v>593</v>
      </c>
      <c r="H362" t="s">
        <v>23</v>
      </c>
      <c r="I362">
        <v>1</v>
      </c>
      <c r="J362">
        <v>4</v>
      </c>
      <c r="K362" t="s">
        <v>27</v>
      </c>
      <c r="L362">
        <v>1</v>
      </c>
      <c r="M362">
        <v>482</v>
      </c>
      <c r="O362">
        <v>4</v>
      </c>
      <c r="P362">
        <v>2</v>
      </c>
      <c r="Q362" t="s">
        <v>29</v>
      </c>
      <c r="R362">
        <v>3</v>
      </c>
      <c r="S362">
        <v>6755</v>
      </c>
      <c r="T362" t="s">
        <v>21</v>
      </c>
    </row>
    <row r="363" spans="1:20" x14ac:dyDescent="0.25">
      <c r="A363">
        <v>40</v>
      </c>
      <c r="B363" t="str">
        <f t="shared" si="5"/>
        <v>35-44</v>
      </c>
      <c r="C363" t="s">
        <v>21</v>
      </c>
      <c r="F363" t="s">
        <v>17</v>
      </c>
      <c r="G363">
        <v>1171</v>
      </c>
      <c r="H363" t="s">
        <v>23</v>
      </c>
      <c r="I363">
        <v>10</v>
      </c>
      <c r="J363">
        <v>4</v>
      </c>
      <c r="K363" t="s">
        <v>19</v>
      </c>
      <c r="L363">
        <v>1</v>
      </c>
      <c r="M363">
        <v>483</v>
      </c>
      <c r="O363">
        <v>4</v>
      </c>
      <c r="P363">
        <v>1</v>
      </c>
      <c r="Q363" t="s">
        <v>26</v>
      </c>
      <c r="R363">
        <v>3</v>
      </c>
      <c r="S363">
        <v>2213</v>
      </c>
      <c r="T363" t="s">
        <v>16</v>
      </c>
    </row>
    <row r="364" spans="1:20" x14ac:dyDescent="0.25">
      <c r="A364">
        <v>21</v>
      </c>
      <c r="B364" t="str">
        <f t="shared" si="5"/>
        <v>18-24</v>
      </c>
      <c r="C364" t="s">
        <v>21</v>
      </c>
      <c r="F364" t="s">
        <v>30</v>
      </c>
      <c r="G364">
        <v>895</v>
      </c>
      <c r="H364" t="s">
        <v>18</v>
      </c>
      <c r="I364">
        <v>9</v>
      </c>
      <c r="J364">
        <v>2</v>
      </c>
      <c r="K364" t="s">
        <v>27</v>
      </c>
      <c r="L364">
        <v>1</v>
      </c>
      <c r="M364">
        <v>484</v>
      </c>
      <c r="O364">
        <v>1</v>
      </c>
      <c r="P364">
        <v>1</v>
      </c>
      <c r="Q364" t="s">
        <v>32</v>
      </c>
      <c r="R364">
        <v>4</v>
      </c>
      <c r="S364">
        <v>2610</v>
      </c>
      <c r="T364" t="s">
        <v>21</v>
      </c>
    </row>
    <row r="365" spans="1:20" x14ac:dyDescent="0.25">
      <c r="A365">
        <v>33</v>
      </c>
      <c r="B365" t="str">
        <f t="shared" si="5"/>
        <v>25-34</v>
      </c>
      <c r="C365" t="s">
        <v>16</v>
      </c>
      <c r="F365" t="s">
        <v>17</v>
      </c>
      <c r="G365">
        <v>350</v>
      </c>
      <c r="H365" t="s">
        <v>18</v>
      </c>
      <c r="I365">
        <v>5</v>
      </c>
      <c r="J365">
        <v>3</v>
      </c>
      <c r="K365" t="s">
        <v>34</v>
      </c>
      <c r="L365">
        <v>1</v>
      </c>
      <c r="M365">
        <v>485</v>
      </c>
      <c r="O365">
        <v>4</v>
      </c>
      <c r="P365">
        <v>1</v>
      </c>
      <c r="Q365" t="s">
        <v>32</v>
      </c>
      <c r="R365">
        <v>3</v>
      </c>
      <c r="S365">
        <v>2851</v>
      </c>
      <c r="T365" t="s">
        <v>16</v>
      </c>
    </row>
    <row r="366" spans="1:20" x14ac:dyDescent="0.25">
      <c r="A366">
        <v>37</v>
      </c>
      <c r="B366" t="str">
        <f t="shared" si="5"/>
        <v>35-44</v>
      </c>
      <c r="C366" t="s">
        <v>21</v>
      </c>
      <c r="F366" t="s">
        <v>17</v>
      </c>
      <c r="G366">
        <v>921</v>
      </c>
      <c r="H366" t="s">
        <v>23</v>
      </c>
      <c r="I366">
        <v>10</v>
      </c>
      <c r="J366">
        <v>3</v>
      </c>
      <c r="K366" t="s">
        <v>27</v>
      </c>
      <c r="L366">
        <v>1</v>
      </c>
      <c r="M366">
        <v>486</v>
      </c>
      <c r="O366">
        <v>3</v>
      </c>
      <c r="P366">
        <v>1</v>
      </c>
      <c r="Q366" t="s">
        <v>26</v>
      </c>
      <c r="R366">
        <v>1</v>
      </c>
      <c r="S366">
        <v>3452</v>
      </c>
      <c r="T366" t="s">
        <v>21</v>
      </c>
    </row>
    <row r="367" spans="1:20" x14ac:dyDescent="0.25">
      <c r="A367">
        <v>46</v>
      </c>
      <c r="B367" t="str">
        <f t="shared" si="5"/>
        <v>45-54</v>
      </c>
      <c r="C367" t="s">
        <v>21</v>
      </c>
      <c r="F367" t="s">
        <v>30</v>
      </c>
      <c r="G367">
        <v>1144</v>
      </c>
      <c r="H367" t="s">
        <v>23</v>
      </c>
      <c r="I367">
        <v>7</v>
      </c>
      <c r="J367">
        <v>4</v>
      </c>
      <c r="K367" t="s">
        <v>27</v>
      </c>
      <c r="L367">
        <v>1</v>
      </c>
      <c r="M367">
        <v>487</v>
      </c>
      <c r="O367">
        <v>3</v>
      </c>
      <c r="P367">
        <v>2</v>
      </c>
      <c r="Q367" t="s">
        <v>28</v>
      </c>
      <c r="R367">
        <v>3</v>
      </c>
      <c r="S367">
        <v>5258</v>
      </c>
      <c r="T367" t="s">
        <v>21</v>
      </c>
    </row>
    <row r="368" spans="1:20" x14ac:dyDescent="0.25">
      <c r="A368">
        <v>41</v>
      </c>
      <c r="B368" t="str">
        <f t="shared" si="5"/>
        <v>35-44</v>
      </c>
      <c r="C368" t="s">
        <v>16</v>
      </c>
      <c r="F368" t="s">
        <v>22</v>
      </c>
      <c r="G368">
        <v>143</v>
      </c>
      <c r="H368" t="s">
        <v>18</v>
      </c>
      <c r="I368">
        <v>4</v>
      </c>
      <c r="J368">
        <v>3</v>
      </c>
      <c r="K368" t="s">
        <v>34</v>
      </c>
      <c r="L368">
        <v>1</v>
      </c>
      <c r="M368">
        <v>488</v>
      </c>
      <c r="O368">
        <v>1</v>
      </c>
      <c r="P368">
        <v>2</v>
      </c>
      <c r="Q368" t="s">
        <v>20</v>
      </c>
      <c r="R368">
        <v>2</v>
      </c>
      <c r="S368">
        <v>9355</v>
      </c>
      <c r="T368" t="s">
        <v>21</v>
      </c>
    </row>
    <row r="369" spans="1:20" x14ac:dyDescent="0.25">
      <c r="A369">
        <v>50</v>
      </c>
      <c r="B369" t="str">
        <f t="shared" si="5"/>
        <v>45-54</v>
      </c>
      <c r="C369" t="s">
        <v>21</v>
      </c>
      <c r="F369" t="s">
        <v>17</v>
      </c>
      <c r="G369">
        <v>1046</v>
      </c>
      <c r="H369" t="s">
        <v>23</v>
      </c>
      <c r="I369">
        <v>10</v>
      </c>
      <c r="J369">
        <v>3</v>
      </c>
      <c r="K369" t="s">
        <v>35</v>
      </c>
      <c r="L369">
        <v>1</v>
      </c>
      <c r="M369">
        <v>491</v>
      </c>
      <c r="O369">
        <v>4</v>
      </c>
      <c r="P369">
        <v>3</v>
      </c>
      <c r="Q369" t="s">
        <v>29</v>
      </c>
      <c r="R369">
        <v>4</v>
      </c>
      <c r="S369">
        <v>10496</v>
      </c>
      <c r="T369" t="s">
        <v>21</v>
      </c>
    </row>
    <row r="370" spans="1:20" x14ac:dyDescent="0.25">
      <c r="A370">
        <v>40</v>
      </c>
      <c r="B370" t="str">
        <f t="shared" si="5"/>
        <v>35-44</v>
      </c>
      <c r="C370" t="s">
        <v>16</v>
      </c>
      <c r="F370" t="s">
        <v>17</v>
      </c>
      <c r="G370">
        <v>575</v>
      </c>
      <c r="H370" t="s">
        <v>18</v>
      </c>
      <c r="I370">
        <v>22</v>
      </c>
      <c r="J370">
        <v>2</v>
      </c>
      <c r="K370" t="s">
        <v>34</v>
      </c>
      <c r="L370">
        <v>1</v>
      </c>
      <c r="M370">
        <v>492</v>
      </c>
      <c r="O370">
        <v>3</v>
      </c>
      <c r="P370">
        <v>2</v>
      </c>
      <c r="Q370" t="s">
        <v>20</v>
      </c>
      <c r="R370">
        <v>3</v>
      </c>
      <c r="S370">
        <v>6380</v>
      </c>
      <c r="T370" t="s">
        <v>16</v>
      </c>
    </row>
    <row r="371" spans="1:20" x14ac:dyDescent="0.25">
      <c r="A371">
        <v>31</v>
      </c>
      <c r="B371" t="str">
        <f t="shared" si="5"/>
        <v>25-34</v>
      </c>
      <c r="C371" t="s">
        <v>21</v>
      </c>
      <c r="F371" t="s">
        <v>17</v>
      </c>
      <c r="G371">
        <v>408</v>
      </c>
      <c r="H371" t="s">
        <v>23</v>
      </c>
      <c r="I371">
        <v>9</v>
      </c>
      <c r="J371">
        <v>4</v>
      </c>
      <c r="K371" t="s">
        <v>19</v>
      </c>
      <c r="L371">
        <v>1</v>
      </c>
      <c r="M371">
        <v>493</v>
      </c>
      <c r="O371">
        <v>3</v>
      </c>
      <c r="P371">
        <v>1</v>
      </c>
      <c r="Q371" t="s">
        <v>24</v>
      </c>
      <c r="R371">
        <v>2</v>
      </c>
      <c r="S371">
        <v>2657</v>
      </c>
      <c r="T371" t="s">
        <v>16</v>
      </c>
    </row>
    <row r="372" spans="1:20" x14ac:dyDescent="0.25">
      <c r="A372">
        <v>21</v>
      </c>
      <c r="B372" t="str">
        <f t="shared" si="5"/>
        <v>18-24</v>
      </c>
      <c r="C372" t="s">
        <v>16</v>
      </c>
      <c r="F372" t="s">
        <v>17</v>
      </c>
      <c r="G372">
        <v>156</v>
      </c>
      <c r="H372" t="s">
        <v>18</v>
      </c>
      <c r="I372">
        <v>12</v>
      </c>
      <c r="J372">
        <v>3</v>
      </c>
      <c r="K372" t="s">
        <v>19</v>
      </c>
      <c r="L372">
        <v>1</v>
      </c>
      <c r="M372">
        <v>494</v>
      </c>
      <c r="O372">
        <v>3</v>
      </c>
      <c r="P372">
        <v>1</v>
      </c>
      <c r="Q372" t="s">
        <v>32</v>
      </c>
      <c r="R372">
        <v>2</v>
      </c>
      <c r="S372">
        <v>2716</v>
      </c>
      <c r="T372" t="s">
        <v>21</v>
      </c>
    </row>
    <row r="373" spans="1:20" x14ac:dyDescent="0.25">
      <c r="A373">
        <v>29</v>
      </c>
      <c r="B373" t="str">
        <f t="shared" si="5"/>
        <v>25-34</v>
      </c>
      <c r="C373" t="s">
        <v>21</v>
      </c>
      <c r="F373" t="s">
        <v>17</v>
      </c>
      <c r="G373">
        <v>1283</v>
      </c>
      <c r="H373" t="s">
        <v>23</v>
      </c>
      <c r="I373">
        <v>23</v>
      </c>
      <c r="J373">
        <v>3</v>
      </c>
      <c r="K373" t="s">
        <v>19</v>
      </c>
      <c r="L373">
        <v>1</v>
      </c>
      <c r="M373">
        <v>495</v>
      </c>
      <c r="O373">
        <v>4</v>
      </c>
      <c r="P373">
        <v>1</v>
      </c>
      <c r="Q373" t="s">
        <v>24</v>
      </c>
      <c r="R373">
        <v>4</v>
      </c>
      <c r="S373">
        <v>2201</v>
      </c>
      <c r="T373" t="s">
        <v>21</v>
      </c>
    </row>
    <row r="374" spans="1:20" x14ac:dyDescent="0.25">
      <c r="A374">
        <v>35</v>
      </c>
      <c r="B374" t="str">
        <f t="shared" si="5"/>
        <v>35-44</v>
      </c>
      <c r="C374" t="s">
        <v>21</v>
      </c>
      <c r="F374" t="s">
        <v>17</v>
      </c>
      <c r="G374">
        <v>755</v>
      </c>
      <c r="H374" t="s">
        <v>23</v>
      </c>
      <c r="I374">
        <v>9</v>
      </c>
      <c r="J374">
        <v>4</v>
      </c>
      <c r="K374" t="s">
        <v>19</v>
      </c>
      <c r="L374">
        <v>1</v>
      </c>
      <c r="M374">
        <v>496</v>
      </c>
      <c r="O374">
        <v>3</v>
      </c>
      <c r="P374">
        <v>2</v>
      </c>
      <c r="Q374" t="s">
        <v>29</v>
      </c>
      <c r="R374">
        <v>2</v>
      </c>
      <c r="S374">
        <v>6540</v>
      </c>
      <c r="T374" t="s">
        <v>21</v>
      </c>
    </row>
    <row r="375" spans="1:20" x14ac:dyDescent="0.25">
      <c r="A375">
        <v>27</v>
      </c>
      <c r="B375" t="str">
        <f t="shared" si="5"/>
        <v>25-34</v>
      </c>
      <c r="C375" t="s">
        <v>21</v>
      </c>
      <c r="F375" t="s">
        <v>17</v>
      </c>
      <c r="G375">
        <v>1469</v>
      </c>
      <c r="H375" t="s">
        <v>23</v>
      </c>
      <c r="I375">
        <v>1</v>
      </c>
      <c r="J375">
        <v>2</v>
      </c>
      <c r="K375" t="s">
        <v>27</v>
      </c>
      <c r="L375">
        <v>1</v>
      </c>
      <c r="M375">
        <v>497</v>
      </c>
      <c r="O375">
        <v>4</v>
      </c>
      <c r="P375">
        <v>1</v>
      </c>
      <c r="Q375" t="s">
        <v>26</v>
      </c>
      <c r="R375">
        <v>2</v>
      </c>
      <c r="S375">
        <v>3816</v>
      </c>
      <c r="T375" t="s">
        <v>21</v>
      </c>
    </row>
    <row r="376" spans="1:20" x14ac:dyDescent="0.25">
      <c r="A376">
        <v>28</v>
      </c>
      <c r="B376" t="str">
        <f t="shared" si="5"/>
        <v>25-34</v>
      </c>
      <c r="C376" t="s">
        <v>21</v>
      </c>
      <c r="F376" t="s">
        <v>17</v>
      </c>
      <c r="G376">
        <v>304</v>
      </c>
      <c r="H376" t="s">
        <v>18</v>
      </c>
      <c r="I376">
        <v>9</v>
      </c>
      <c r="J376">
        <v>4</v>
      </c>
      <c r="K376" t="s">
        <v>19</v>
      </c>
      <c r="L376">
        <v>1</v>
      </c>
      <c r="M376">
        <v>498</v>
      </c>
      <c r="O376">
        <v>2</v>
      </c>
      <c r="P376">
        <v>2</v>
      </c>
      <c r="Q376" t="s">
        <v>20</v>
      </c>
      <c r="R376">
        <v>4</v>
      </c>
      <c r="S376">
        <v>5253</v>
      </c>
      <c r="T376" t="s">
        <v>21</v>
      </c>
    </row>
    <row r="377" spans="1:20" x14ac:dyDescent="0.25">
      <c r="A377">
        <v>49</v>
      </c>
      <c r="B377" t="str">
        <f t="shared" si="5"/>
        <v>45-54</v>
      </c>
      <c r="C377" t="s">
        <v>21</v>
      </c>
      <c r="F377" t="s">
        <v>17</v>
      </c>
      <c r="G377">
        <v>1261</v>
      </c>
      <c r="H377" t="s">
        <v>23</v>
      </c>
      <c r="I377">
        <v>7</v>
      </c>
      <c r="J377">
        <v>3</v>
      </c>
      <c r="K377" t="s">
        <v>25</v>
      </c>
      <c r="L377">
        <v>1</v>
      </c>
      <c r="M377">
        <v>499</v>
      </c>
      <c r="O377">
        <v>2</v>
      </c>
      <c r="P377">
        <v>3</v>
      </c>
      <c r="Q377" t="s">
        <v>29</v>
      </c>
      <c r="R377">
        <v>3</v>
      </c>
      <c r="S377">
        <v>10965</v>
      </c>
      <c r="T377" t="s">
        <v>21</v>
      </c>
    </row>
    <row r="378" spans="1:20" x14ac:dyDescent="0.25">
      <c r="A378">
        <v>51</v>
      </c>
      <c r="B378" t="str">
        <f t="shared" si="5"/>
        <v>45-54</v>
      </c>
      <c r="C378" t="s">
        <v>21</v>
      </c>
      <c r="F378" t="s">
        <v>17</v>
      </c>
      <c r="G378">
        <v>1178</v>
      </c>
      <c r="H378" t="s">
        <v>18</v>
      </c>
      <c r="I378">
        <v>14</v>
      </c>
      <c r="J378">
        <v>2</v>
      </c>
      <c r="K378" t="s">
        <v>19</v>
      </c>
      <c r="L378">
        <v>1</v>
      </c>
      <c r="M378">
        <v>500</v>
      </c>
      <c r="O378">
        <v>3</v>
      </c>
      <c r="P378">
        <v>2</v>
      </c>
      <c r="Q378" t="s">
        <v>20</v>
      </c>
      <c r="R378">
        <v>4</v>
      </c>
      <c r="S378">
        <v>4936</v>
      </c>
      <c r="T378" t="s">
        <v>21</v>
      </c>
    </row>
    <row r="379" spans="1:20" x14ac:dyDescent="0.25">
      <c r="A379">
        <v>36</v>
      </c>
      <c r="B379" t="str">
        <f t="shared" si="5"/>
        <v>35-44</v>
      </c>
      <c r="C379" t="s">
        <v>21</v>
      </c>
      <c r="F379" t="s">
        <v>17</v>
      </c>
      <c r="G379">
        <v>329</v>
      </c>
      <c r="H379" t="s">
        <v>23</v>
      </c>
      <c r="I379">
        <v>2</v>
      </c>
      <c r="J379">
        <v>3</v>
      </c>
      <c r="K379" t="s">
        <v>19</v>
      </c>
      <c r="L379">
        <v>1</v>
      </c>
      <c r="M379">
        <v>501</v>
      </c>
      <c r="O379">
        <v>4</v>
      </c>
      <c r="P379">
        <v>1</v>
      </c>
      <c r="Q379" t="s">
        <v>24</v>
      </c>
      <c r="R379">
        <v>3</v>
      </c>
      <c r="S379">
        <v>2543</v>
      </c>
      <c r="T379" t="s">
        <v>21</v>
      </c>
    </row>
    <row r="380" spans="1:20" x14ac:dyDescent="0.25">
      <c r="A380">
        <v>34</v>
      </c>
      <c r="B380" t="str">
        <f t="shared" si="5"/>
        <v>25-34</v>
      </c>
      <c r="C380" t="s">
        <v>16</v>
      </c>
      <c r="F380" t="s">
        <v>30</v>
      </c>
      <c r="G380">
        <v>1362</v>
      </c>
      <c r="H380" t="s">
        <v>18</v>
      </c>
      <c r="I380">
        <v>19</v>
      </c>
      <c r="J380">
        <v>3</v>
      </c>
      <c r="K380" t="s">
        <v>34</v>
      </c>
      <c r="L380">
        <v>1</v>
      </c>
      <c r="M380">
        <v>502</v>
      </c>
      <c r="O380">
        <v>1</v>
      </c>
      <c r="P380">
        <v>2</v>
      </c>
      <c r="Q380" t="s">
        <v>20</v>
      </c>
      <c r="R380">
        <v>4</v>
      </c>
      <c r="S380">
        <v>5304</v>
      </c>
      <c r="T380" t="s">
        <v>16</v>
      </c>
    </row>
    <row r="381" spans="1:20" x14ac:dyDescent="0.25">
      <c r="A381">
        <v>55</v>
      </c>
      <c r="B381" t="str">
        <f t="shared" si="5"/>
        <v>55+</v>
      </c>
      <c r="C381" t="s">
        <v>21</v>
      </c>
      <c r="F381" t="s">
        <v>17</v>
      </c>
      <c r="G381">
        <v>1311</v>
      </c>
      <c r="H381" t="s">
        <v>23</v>
      </c>
      <c r="I381">
        <v>2</v>
      </c>
      <c r="J381">
        <v>3</v>
      </c>
      <c r="K381" t="s">
        <v>19</v>
      </c>
      <c r="L381">
        <v>1</v>
      </c>
      <c r="M381">
        <v>505</v>
      </c>
      <c r="O381">
        <v>3</v>
      </c>
      <c r="P381">
        <v>4</v>
      </c>
      <c r="Q381" t="s">
        <v>31</v>
      </c>
      <c r="R381">
        <v>4</v>
      </c>
      <c r="S381">
        <v>16659</v>
      </c>
      <c r="T381" t="s">
        <v>16</v>
      </c>
    </row>
    <row r="382" spans="1:20" x14ac:dyDescent="0.25">
      <c r="A382">
        <v>24</v>
      </c>
      <c r="B382" t="str">
        <f t="shared" si="5"/>
        <v>18-24</v>
      </c>
      <c r="C382" t="s">
        <v>21</v>
      </c>
      <c r="F382" t="s">
        <v>17</v>
      </c>
      <c r="G382">
        <v>1371</v>
      </c>
      <c r="H382" t="s">
        <v>18</v>
      </c>
      <c r="I382">
        <v>10</v>
      </c>
      <c r="J382">
        <v>4</v>
      </c>
      <c r="K382" t="s">
        <v>34</v>
      </c>
      <c r="L382">
        <v>1</v>
      </c>
      <c r="M382">
        <v>507</v>
      </c>
      <c r="O382">
        <v>4</v>
      </c>
      <c r="P382">
        <v>2</v>
      </c>
      <c r="Q382" t="s">
        <v>20</v>
      </c>
      <c r="R382">
        <v>3</v>
      </c>
      <c r="S382">
        <v>4260</v>
      </c>
      <c r="T382" t="s">
        <v>16</v>
      </c>
    </row>
    <row r="383" spans="1:20" x14ac:dyDescent="0.25">
      <c r="A383">
        <v>30</v>
      </c>
      <c r="B383" t="str">
        <f t="shared" si="5"/>
        <v>25-34</v>
      </c>
      <c r="C383" t="s">
        <v>21</v>
      </c>
      <c r="F383" t="s">
        <v>17</v>
      </c>
      <c r="G383">
        <v>202</v>
      </c>
      <c r="H383" t="s">
        <v>18</v>
      </c>
      <c r="I383">
        <v>2</v>
      </c>
      <c r="J383">
        <v>1</v>
      </c>
      <c r="K383" t="s">
        <v>35</v>
      </c>
      <c r="L383">
        <v>1</v>
      </c>
      <c r="M383">
        <v>508</v>
      </c>
      <c r="O383">
        <v>3</v>
      </c>
      <c r="P383">
        <v>1</v>
      </c>
      <c r="Q383" t="s">
        <v>32</v>
      </c>
      <c r="R383">
        <v>2</v>
      </c>
      <c r="S383">
        <v>2476</v>
      </c>
      <c r="T383" t="s">
        <v>21</v>
      </c>
    </row>
    <row r="384" spans="1:20" x14ac:dyDescent="0.25">
      <c r="A384">
        <v>26</v>
      </c>
      <c r="B384" t="str">
        <f t="shared" si="5"/>
        <v>25-34</v>
      </c>
      <c r="C384" t="s">
        <v>16</v>
      </c>
      <c r="F384" t="s">
        <v>22</v>
      </c>
      <c r="G384">
        <v>575</v>
      </c>
      <c r="H384" t="s">
        <v>23</v>
      </c>
      <c r="I384">
        <v>3</v>
      </c>
      <c r="J384">
        <v>1</v>
      </c>
      <c r="K384" t="s">
        <v>35</v>
      </c>
      <c r="L384">
        <v>1</v>
      </c>
      <c r="M384">
        <v>510</v>
      </c>
      <c r="O384">
        <v>3</v>
      </c>
      <c r="P384">
        <v>1</v>
      </c>
      <c r="Q384" t="s">
        <v>24</v>
      </c>
      <c r="R384">
        <v>1</v>
      </c>
      <c r="S384">
        <v>3102</v>
      </c>
      <c r="T384" t="s">
        <v>21</v>
      </c>
    </row>
    <row r="385" spans="1:20" x14ac:dyDescent="0.25">
      <c r="A385">
        <v>22</v>
      </c>
      <c r="B385" t="str">
        <f t="shared" si="5"/>
        <v>18-24</v>
      </c>
      <c r="C385" t="s">
        <v>21</v>
      </c>
      <c r="F385" t="s">
        <v>17</v>
      </c>
      <c r="G385">
        <v>253</v>
      </c>
      <c r="H385" t="s">
        <v>23</v>
      </c>
      <c r="I385">
        <v>11</v>
      </c>
      <c r="J385">
        <v>3</v>
      </c>
      <c r="K385" t="s">
        <v>27</v>
      </c>
      <c r="L385">
        <v>1</v>
      </c>
      <c r="M385">
        <v>511</v>
      </c>
      <c r="O385">
        <v>1</v>
      </c>
      <c r="P385">
        <v>1</v>
      </c>
      <c r="Q385" t="s">
        <v>24</v>
      </c>
      <c r="R385">
        <v>2</v>
      </c>
      <c r="S385">
        <v>2244</v>
      </c>
      <c r="T385" t="s">
        <v>21</v>
      </c>
    </row>
    <row r="386" spans="1:20" x14ac:dyDescent="0.25">
      <c r="A386">
        <v>36</v>
      </c>
      <c r="B386" t="str">
        <f t="shared" si="5"/>
        <v>35-44</v>
      </c>
      <c r="C386" t="s">
        <v>21</v>
      </c>
      <c r="F386" t="s">
        <v>17</v>
      </c>
      <c r="G386">
        <v>164</v>
      </c>
      <c r="H386" t="s">
        <v>18</v>
      </c>
      <c r="I386">
        <v>2</v>
      </c>
      <c r="J386">
        <v>2</v>
      </c>
      <c r="K386" t="s">
        <v>27</v>
      </c>
      <c r="L386">
        <v>1</v>
      </c>
      <c r="M386">
        <v>513</v>
      </c>
      <c r="O386">
        <v>2</v>
      </c>
      <c r="P386">
        <v>3</v>
      </c>
      <c r="Q386" t="s">
        <v>20</v>
      </c>
      <c r="R386">
        <v>3</v>
      </c>
      <c r="S386">
        <v>7596</v>
      </c>
      <c r="T386" t="s">
        <v>21</v>
      </c>
    </row>
    <row r="387" spans="1:20" x14ac:dyDescent="0.25">
      <c r="A387">
        <v>30</v>
      </c>
      <c r="B387" t="str">
        <f t="shared" ref="B387:B450" si="6">IF(A387&lt;=24,"18-24",IF(A387&lt;=34,"25-34",IF(A387&lt;=44,"35-44",IF(A387&lt;=54,"45-54","55+"))))</f>
        <v>25-34</v>
      </c>
      <c r="C387" t="s">
        <v>16</v>
      </c>
      <c r="F387" t="s">
        <v>22</v>
      </c>
      <c r="G387">
        <v>464</v>
      </c>
      <c r="H387" t="s">
        <v>23</v>
      </c>
      <c r="I387">
        <v>4</v>
      </c>
      <c r="J387">
        <v>3</v>
      </c>
      <c r="K387" t="s">
        <v>35</v>
      </c>
      <c r="L387">
        <v>1</v>
      </c>
      <c r="M387">
        <v>514</v>
      </c>
      <c r="O387">
        <v>3</v>
      </c>
      <c r="P387">
        <v>1</v>
      </c>
      <c r="Q387" t="s">
        <v>24</v>
      </c>
      <c r="R387">
        <v>4</v>
      </c>
      <c r="S387">
        <v>2285</v>
      </c>
      <c r="T387" t="s">
        <v>16</v>
      </c>
    </row>
    <row r="388" spans="1:20" x14ac:dyDescent="0.25">
      <c r="A388">
        <v>37</v>
      </c>
      <c r="B388" t="str">
        <f t="shared" si="6"/>
        <v>35-44</v>
      </c>
      <c r="C388" t="s">
        <v>21</v>
      </c>
      <c r="F388" t="s">
        <v>17</v>
      </c>
      <c r="G388">
        <v>1107</v>
      </c>
      <c r="H388" t="s">
        <v>23</v>
      </c>
      <c r="I388">
        <v>14</v>
      </c>
      <c r="J388">
        <v>3</v>
      </c>
      <c r="K388" t="s">
        <v>19</v>
      </c>
      <c r="L388">
        <v>1</v>
      </c>
      <c r="M388">
        <v>515</v>
      </c>
      <c r="O388">
        <v>4</v>
      </c>
      <c r="P388">
        <v>1</v>
      </c>
      <c r="Q388" t="s">
        <v>26</v>
      </c>
      <c r="R388">
        <v>1</v>
      </c>
      <c r="S388">
        <v>3034</v>
      </c>
      <c r="T388" t="s">
        <v>21</v>
      </c>
    </row>
    <row r="389" spans="1:20" x14ac:dyDescent="0.25">
      <c r="A389">
        <v>40</v>
      </c>
      <c r="B389" t="str">
        <f t="shared" si="6"/>
        <v>35-44</v>
      </c>
      <c r="C389" t="s">
        <v>21</v>
      </c>
      <c r="F389" t="s">
        <v>17</v>
      </c>
      <c r="G389">
        <v>759</v>
      </c>
      <c r="H389" t="s">
        <v>18</v>
      </c>
      <c r="I389">
        <v>2</v>
      </c>
      <c r="J389">
        <v>2</v>
      </c>
      <c r="K389" t="s">
        <v>34</v>
      </c>
      <c r="L389">
        <v>1</v>
      </c>
      <c r="M389">
        <v>516</v>
      </c>
      <c r="O389">
        <v>4</v>
      </c>
      <c r="P389">
        <v>2</v>
      </c>
      <c r="Q389" t="s">
        <v>20</v>
      </c>
      <c r="R389">
        <v>2</v>
      </c>
      <c r="S389">
        <v>5715</v>
      </c>
      <c r="T389" t="s">
        <v>21</v>
      </c>
    </row>
    <row r="390" spans="1:20" x14ac:dyDescent="0.25">
      <c r="A390">
        <v>42</v>
      </c>
      <c r="B390" t="str">
        <f t="shared" si="6"/>
        <v>35-44</v>
      </c>
      <c r="C390" t="s">
        <v>21</v>
      </c>
      <c r="F390" t="s">
        <v>17</v>
      </c>
      <c r="G390">
        <v>201</v>
      </c>
      <c r="H390" t="s">
        <v>23</v>
      </c>
      <c r="I390">
        <v>1</v>
      </c>
      <c r="J390">
        <v>4</v>
      </c>
      <c r="K390" t="s">
        <v>19</v>
      </c>
      <c r="L390">
        <v>1</v>
      </c>
      <c r="M390">
        <v>517</v>
      </c>
      <c r="O390">
        <v>2</v>
      </c>
      <c r="P390">
        <v>1</v>
      </c>
      <c r="Q390" t="s">
        <v>26</v>
      </c>
      <c r="R390">
        <v>1</v>
      </c>
      <c r="S390">
        <v>2576</v>
      </c>
      <c r="T390" t="s">
        <v>21</v>
      </c>
    </row>
    <row r="391" spans="1:20" x14ac:dyDescent="0.25">
      <c r="A391">
        <v>37</v>
      </c>
      <c r="B391" t="str">
        <f t="shared" si="6"/>
        <v>35-44</v>
      </c>
      <c r="C391" t="s">
        <v>21</v>
      </c>
      <c r="F391" t="s">
        <v>17</v>
      </c>
      <c r="G391">
        <v>1305</v>
      </c>
      <c r="H391" t="s">
        <v>23</v>
      </c>
      <c r="I391">
        <v>10</v>
      </c>
      <c r="J391">
        <v>4</v>
      </c>
      <c r="K391" t="s">
        <v>19</v>
      </c>
      <c r="L391">
        <v>1</v>
      </c>
      <c r="M391">
        <v>518</v>
      </c>
      <c r="O391">
        <v>3</v>
      </c>
      <c r="P391">
        <v>2</v>
      </c>
      <c r="Q391" t="s">
        <v>28</v>
      </c>
      <c r="R391">
        <v>2</v>
      </c>
      <c r="S391">
        <v>4197</v>
      </c>
      <c r="T391" t="s">
        <v>16</v>
      </c>
    </row>
    <row r="392" spans="1:20" x14ac:dyDescent="0.25">
      <c r="A392">
        <v>43</v>
      </c>
      <c r="B392" t="str">
        <f t="shared" si="6"/>
        <v>35-44</v>
      </c>
      <c r="C392" t="s">
        <v>21</v>
      </c>
      <c r="F392" t="s">
        <v>17</v>
      </c>
      <c r="G392">
        <v>982</v>
      </c>
      <c r="H392" t="s">
        <v>23</v>
      </c>
      <c r="I392">
        <v>12</v>
      </c>
      <c r="J392">
        <v>3</v>
      </c>
      <c r="K392" t="s">
        <v>19</v>
      </c>
      <c r="L392">
        <v>1</v>
      </c>
      <c r="M392">
        <v>520</v>
      </c>
      <c r="O392">
        <v>1</v>
      </c>
      <c r="P392">
        <v>4</v>
      </c>
      <c r="Q392" t="s">
        <v>33</v>
      </c>
      <c r="R392">
        <v>2</v>
      </c>
      <c r="S392">
        <v>14336</v>
      </c>
      <c r="T392" t="s">
        <v>21</v>
      </c>
    </row>
    <row r="393" spans="1:20" x14ac:dyDescent="0.25">
      <c r="A393">
        <v>40</v>
      </c>
      <c r="B393" t="str">
        <f t="shared" si="6"/>
        <v>35-44</v>
      </c>
      <c r="C393" t="s">
        <v>21</v>
      </c>
      <c r="F393" t="s">
        <v>17</v>
      </c>
      <c r="G393">
        <v>555</v>
      </c>
      <c r="H393" t="s">
        <v>23</v>
      </c>
      <c r="I393">
        <v>2</v>
      </c>
      <c r="J393">
        <v>3</v>
      </c>
      <c r="K393" t="s">
        <v>27</v>
      </c>
      <c r="L393">
        <v>1</v>
      </c>
      <c r="M393">
        <v>521</v>
      </c>
      <c r="O393">
        <v>2</v>
      </c>
      <c r="P393">
        <v>2</v>
      </c>
      <c r="Q393" t="s">
        <v>26</v>
      </c>
      <c r="R393">
        <v>3</v>
      </c>
      <c r="S393">
        <v>3448</v>
      </c>
      <c r="T393" t="s">
        <v>21</v>
      </c>
    </row>
    <row r="394" spans="1:20" x14ac:dyDescent="0.25">
      <c r="A394">
        <v>54</v>
      </c>
      <c r="B394" t="str">
        <f t="shared" si="6"/>
        <v>45-54</v>
      </c>
      <c r="C394" t="s">
        <v>21</v>
      </c>
      <c r="F394" t="s">
        <v>17</v>
      </c>
      <c r="G394">
        <v>821</v>
      </c>
      <c r="H394" t="s">
        <v>23</v>
      </c>
      <c r="I394">
        <v>5</v>
      </c>
      <c r="J394">
        <v>2</v>
      </c>
      <c r="K394" t="s">
        <v>27</v>
      </c>
      <c r="L394">
        <v>1</v>
      </c>
      <c r="M394">
        <v>522</v>
      </c>
      <c r="O394">
        <v>1</v>
      </c>
      <c r="P394">
        <v>5</v>
      </c>
      <c r="Q394" t="s">
        <v>33</v>
      </c>
      <c r="R394">
        <v>1</v>
      </c>
      <c r="S394">
        <v>19406</v>
      </c>
      <c r="T394" t="s">
        <v>21</v>
      </c>
    </row>
    <row r="395" spans="1:20" x14ac:dyDescent="0.25">
      <c r="A395">
        <v>34</v>
      </c>
      <c r="B395" t="str">
        <f t="shared" si="6"/>
        <v>25-34</v>
      </c>
      <c r="C395" t="s">
        <v>21</v>
      </c>
      <c r="F395" t="s">
        <v>30</v>
      </c>
      <c r="G395">
        <v>1381</v>
      </c>
      <c r="H395" t="s">
        <v>18</v>
      </c>
      <c r="I395">
        <v>4</v>
      </c>
      <c r="J395">
        <v>4</v>
      </c>
      <c r="K395" t="s">
        <v>34</v>
      </c>
      <c r="L395">
        <v>1</v>
      </c>
      <c r="M395">
        <v>523</v>
      </c>
      <c r="O395">
        <v>3</v>
      </c>
      <c r="P395">
        <v>2</v>
      </c>
      <c r="Q395" t="s">
        <v>20</v>
      </c>
      <c r="R395">
        <v>3</v>
      </c>
      <c r="S395">
        <v>6538</v>
      </c>
      <c r="T395" t="s">
        <v>21</v>
      </c>
    </row>
    <row r="396" spans="1:20" x14ac:dyDescent="0.25">
      <c r="A396">
        <v>31</v>
      </c>
      <c r="B396" t="str">
        <f t="shared" si="6"/>
        <v>25-34</v>
      </c>
      <c r="C396" t="s">
        <v>21</v>
      </c>
      <c r="F396" t="s">
        <v>17</v>
      </c>
      <c r="G396">
        <v>480</v>
      </c>
      <c r="H396" t="s">
        <v>23</v>
      </c>
      <c r="I396">
        <v>7</v>
      </c>
      <c r="J396">
        <v>2</v>
      </c>
      <c r="K396" t="s">
        <v>27</v>
      </c>
      <c r="L396">
        <v>1</v>
      </c>
      <c r="M396">
        <v>524</v>
      </c>
      <c r="O396">
        <v>2</v>
      </c>
      <c r="P396">
        <v>2</v>
      </c>
      <c r="Q396" t="s">
        <v>28</v>
      </c>
      <c r="R396">
        <v>1</v>
      </c>
      <c r="S396">
        <v>4306</v>
      </c>
      <c r="T396" t="s">
        <v>21</v>
      </c>
    </row>
    <row r="397" spans="1:20" x14ac:dyDescent="0.25">
      <c r="A397">
        <v>43</v>
      </c>
      <c r="B397" t="str">
        <f t="shared" si="6"/>
        <v>35-44</v>
      </c>
      <c r="C397" t="s">
        <v>21</v>
      </c>
      <c r="F397" t="s">
        <v>22</v>
      </c>
      <c r="G397">
        <v>313</v>
      </c>
      <c r="H397" t="s">
        <v>23</v>
      </c>
      <c r="I397">
        <v>21</v>
      </c>
      <c r="J397">
        <v>3</v>
      </c>
      <c r="K397" t="s">
        <v>27</v>
      </c>
      <c r="L397">
        <v>1</v>
      </c>
      <c r="M397">
        <v>525</v>
      </c>
      <c r="O397">
        <v>4</v>
      </c>
      <c r="P397">
        <v>1</v>
      </c>
      <c r="Q397" t="s">
        <v>26</v>
      </c>
      <c r="R397">
        <v>4</v>
      </c>
      <c r="S397">
        <v>2258</v>
      </c>
      <c r="T397" t="s">
        <v>21</v>
      </c>
    </row>
    <row r="398" spans="1:20" x14ac:dyDescent="0.25">
      <c r="A398">
        <v>43</v>
      </c>
      <c r="B398" t="str">
        <f t="shared" si="6"/>
        <v>35-44</v>
      </c>
      <c r="C398" t="s">
        <v>21</v>
      </c>
      <c r="F398" t="s">
        <v>17</v>
      </c>
      <c r="G398">
        <v>1473</v>
      </c>
      <c r="H398" t="s">
        <v>23</v>
      </c>
      <c r="I398">
        <v>8</v>
      </c>
      <c r="J398">
        <v>4</v>
      </c>
      <c r="K398" t="s">
        <v>25</v>
      </c>
      <c r="L398">
        <v>1</v>
      </c>
      <c r="M398">
        <v>526</v>
      </c>
      <c r="O398">
        <v>3</v>
      </c>
      <c r="P398">
        <v>2</v>
      </c>
      <c r="Q398" t="s">
        <v>29</v>
      </c>
      <c r="R398">
        <v>3</v>
      </c>
      <c r="S398">
        <v>4522</v>
      </c>
      <c r="T398" t="s">
        <v>16</v>
      </c>
    </row>
    <row r="399" spans="1:20" x14ac:dyDescent="0.25">
      <c r="A399">
        <v>25</v>
      </c>
      <c r="B399" t="str">
        <f t="shared" si="6"/>
        <v>25-34</v>
      </c>
      <c r="C399" t="s">
        <v>21</v>
      </c>
      <c r="F399" t="s">
        <v>17</v>
      </c>
      <c r="G399">
        <v>891</v>
      </c>
      <c r="H399" t="s">
        <v>18</v>
      </c>
      <c r="I399">
        <v>4</v>
      </c>
      <c r="J399">
        <v>2</v>
      </c>
      <c r="K399" t="s">
        <v>19</v>
      </c>
      <c r="L399">
        <v>1</v>
      </c>
      <c r="M399">
        <v>527</v>
      </c>
      <c r="O399">
        <v>2</v>
      </c>
      <c r="P399">
        <v>2</v>
      </c>
      <c r="Q399" t="s">
        <v>20</v>
      </c>
      <c r="R399">
        <v>4</v>
      </c>
      <c r="S399">
        <v>4487</v>
      </c>
      <c r="T399" t="s">
        <v>16</v>
      </c>
    </row>
    <row r="400" spans="1:20" x14ac:dyDescent="0.25">
      <c r="A400">
        <v>37</v>
      </c>
      <c r="B400" t="str">
        <f t="shared" si="6"/>
        <v>35-44</v>
      </c>
      <c r="C400" t="s">
        <v>21</v>
      </c>
      <c r="F400" t="s">
        <v>30</v>
      </c>
      <c r="G400">
        <v>1063</v>
      </c>
      <c r="H400" t="s">
        <v>23</v>
      </c>
      <c r="I400">
        <v>25</v>
      </c>
      <c r="J400">
        <v>5</v>
      </c>
      <c r="K400" t="s">
        <v>27</v>
      </c>
      <c r="L400">
        <v>1</v>
      </c>
      <c r="M400">
        <v>529</v>
      </c>
      <c r="O400">
        <v>2</v>
      </c>
      <c r="P400">
        <v>2</v>
      </c>
      <c r="Q400" t="s">
        <v>24</v>
      </c>
      <c r="R400">
        <v>3</v>
      </c>
      <c r="S400">
        <v>4449</v>
      </c>
      <c r="T400" t="s">
        <v>16</v>
      </c>
    </row>
    <row r="401" spans="1:20" x14ac:dyDescent="0.25">
      <c r="A401">
        <v>31</v>
      </c>
      <c r="B401" t="str">
        <f t="shared" si="6"/>
        <v>25-34</v>
      </c>
      <c r="C401" t="s">
        <v>21</v>
      </c>
      <c r="F401" t="s">
        <v>17</v>
      </c>
      <c r="G401">
        <v>329</v>
      </c>
      <c r="H401" t="s">
        <v>23</v>
      </c>
      <c r="I401">
        <v>1</v>
      </c>
      <c r="J401">
        <v>2</v>
      </c>
      <c r="K401" t="s">
        <v>19</v>
      </c>
      <c r="L401">
        <v>1</v>
      </c>
      <c r="M401">
        <v>530</v>
      </c>
      <c r="O401">
        <v>4</v>
      </c>
      <c r="P401">
        <v>1</v>
      </c>
      <c r="Q401" t="s">
        <v>26</v>
      </c>
      <c r="R401">
        <v>1</v>
      </c>
      <c r="S401">
        <v>2218</v>
      </c>
      <c r="T401" t="s">
        <v>21</v>
      </c>
    </row>
    <row r="402" spans="1:20" x14ac:dyDescent="0.25">
      <c r="A402">
        <v>39</v>
      </c>
      <c r="B402" t="str">
        <f t="shared" si="6"/>
        <v>35-44</v>
      </c>
      <c r="C402" t="s">
        <v>21</v>
      </c>
      <c r="F402" t="s">
        <v>22</v>
      </c>
      <c r="G402">
        <v>1218</v>
      </c>
      <c r="H402" t="s">
        <v>23</v>
      </c>
      <c r="I402">
        <v>1</v>
      </c>
      <c r="J402">
        <v>1</v>
      </c>
      <c r="K402" t="s">
        <v>19</v>
      </c>
      <c r="L402">
        <v>1</v>
      </c>
      <c r="M402">
        <v>531</v>
      </c>
      <c r="O402">
        <v>2</v>
      </c>
      <c r="P402">
        <v>5</v>
      </c>
      <c r="Q402" t="s">
        <v>31</v>
      </c>
      <c r="R402">
        <v>3</v>
      </c>
      <c r="S402">
        <v>19197</v>
      </c>
      <c r="T402" t="s">
        <v>16</v>
      </c>
    </row>
    <row r="403" spans="1:20" x14ac:dyDescent="0.25">
      <c r="A403">
        <v>56</v>
      </c>
      <c r="B403" t="str">
        <f t="shared" si="6"/>
        <v>55+</v>
      </c>
      <c r="C403" t="s">
        <v>21</v>
      </c>
      <c r="F403" t="s">
        <v>22</v>
      </c>
      <c r="G403">
        <v>906</v>
      </c>
      <c r="H403" t="s">
        <v>18</v>
      </c>
      <c r="I403">
        <v>6</v>
      </c>
      <c r="J403">
        <v>3</v>
      </c>
      <c r="K403" t="s">
        <v>19</v>
      </c>
      <c r="L403">
        <v>1</v>
      </c>
      <c r="M403">
        <v>532</v>
      </c>
      <c r="O403">
        <v>3</v>
      </c>
      <c r="P403">
        <v>4</v>
      </c>
      <c r="Q403" t="s">
        <v>20</v>
      </c>
      <c r="R403">
        <v>1</v>
      </c>
      <c r="S403">
        <v>13212</v>
      </c>
      <c r="T403" t="s">
        <v>21</v>
      </c>
    </row>
    <row r="404" spans="1:20" x14ac:dyDescent="0.25">
      <c r="A404">
        <v>30</v>
      </c>
      <c r="B404" t="str">
        <f t="shared" si="6"/>
        <v>25-34</v>
      </c>
      <c r="C404" t="s">
        <v>21</v>
      </c>
      <c r="F404" t="s">
        <v>17</v>
      </c>
      <c r="G404">
        <v>1082</v>
      </c>
      <c r="H404" t="s">
        <v>18</v>
      </c>
      <c r="I404">
        <v>12</v>
      </c>
      <c r="J404">
        <v>3</v>
      </c>
      <c r="K404" t="s">
        <v>35</v>
      </c>
      <c r="L404">
        <v>1</v>
      </c>
      <c r="M404">
        <v>533</v>
      </c>
      <c r="O404">
        <v>2</v>
      </c>
      <c r="P404">
        <v>2</v>
      </c>
      <c r="Q404" t="s">
        <v>20</v>
      </c>
      <c r="R404">
        <v>3</v>
      </c>
      <c r="S404">
        <v>6577</v>
      </c>
      <c r="T404" t="s">
        <v>21</v>
      </c>
    </row>
    <row r="405" spans="1:20" x14ac:dyDescent="0.25">
      <c r="A405">
        <v>41</v>
      </c>
      <c r="B405" t="str">
        <f t="shared" si="6"/>
        <v>35-44</v>
      </c>
      <c r="C405" t="s">
        <v>21</v>
      </c>
      <c r="F405" t="s">
        <v>17</v>
      </c>
      <c r="G405">
        <v>645</v>
      </c>
      <c r="H405" t="s">
        <v>18</v>
      </c>
      <c r="I405">
        <v>1</v>
      </c>
      <c r="J405">
        <v>3</v>
      </c>
      <c r="K405" t="s">
        <v>34</v>
      </c>
      <c r="L405">
        <v>1</v>
      </c>
      <c r="M405">
        <v>534</v>
      </c>
      <c r="O405">
        <v>2</v>
      </c>
      <c r="P405">
        <v>3</v>
      </c>
      <c r="Q405" t="s">
        <v>20</v>
      </c>
      <c r="R405">
        <v>1</v>
      </c>
      <c r="S405">
        <v>8392</v>
      </c>
      <c r="T405" t="s">
        <v>21</v>
      </c>
    </row>
    <row r="406" spans="1:20" x14ac:dyDescent="0.25">
      <c r="A406">
        <v>28</v>
      </c>
      <c r="B406" t="str">
        <f t="shared" si="6"/>
        <v>25-34</v>
      </c>
      <c r="C406" t="s">
        <v>21</v>
      </c>
      <c r="F406" t="s">
        <v>17</v>
      </c>
      <c r="G406">
        <v>1300</v>
      </c>
      <c r="H406" t="s">
        <v>23</v>
      </c>
      <c r="I406">
        <v>17</v>
      </c>
      <c r="J406">
        <v>2</v>
      </c>
      <c r="K406" t="s">
        <v>27</v>
      </c>
      <c r="L406">
        <v>1</v>
      </c>
      <c r="M406">
        <v>536</v>
      </c>
      <c r="O406">
        <v>3</v>
      </c>
      <c r="P406">
        <v>2</v>
      </c>
      <c r="Q406" t="s">
        <v>26</v>
      </c>
      <c r="R406">
        <v>1</v>
      </c>
      <c r="S406">
        <v>4558</v>
      </c>
      <c r="T406" t="s">
        <v>21</v>
      </c>
    </row>
    <row r="407" spans="1:20" x14ac:dyDescent="0.25">
      <c r="A407">
        <v>25</v>
      </c>
      <c r="B407" t="str">
        <f t="shared" si="6"/>
        <v>25-34</v>
      </c>
      <c r="C407" t="s">
        <v>16</v>
      </c>
      <c r="F407" t="s">
        <v>17</v>
      </c>
      <c r="G407">
        <v>688</v>
      </c>
      <c r="H407" t="s">
        <v>23</v>
      </c>
      <c r="I407">
        <v>3</v>
      </c>
      <c r="J407">
        <v>3</v>
      </c>
      <c r="K407" t="s">
        <v>27</v>
      </c>
      <c r="L407">
        <v>1</v>
      </c>
      <c r="M407">
        <v>538</v>
      </c>
      <c r="O407">
        <v>1</v>
      </c>
      <c r="P407">
        <v>1</v>
      </c>
      <c r="Q407" t="s">
        <v>26</v>
      </c>
      <c r="R407">
        <v>1</v>
      </c>
      <c r="S407">
        <v>4031</v>
      </c>
      <c r="T407" t="s">
        <v>21</v>
      </c>
    </row>
    <row r="408" spans="1:20" x14ac:dyDescent="0.25">
      <c r="A408">
        <v>52</v>
      </c>
      <c r="B408" t="str">
        <f t="shared" si="6"/>
        <v>45-54</v>
      </c>
      <c r="C408" t="s">
        <v>21</v>
      </c>
      <c r="F408" t="s">
        <v>17</v>
      </c>
      <c r="G408">
        <v>319</v>
      </c>
      <c r="H408" t="s">
        <v>23</v>
      </c>
      <c r="I408">
        <v>3</v>
      </c>
      <c r="J408">
        <v>3</v>
      </c>
      <c r="K408" t="s">
        <v>27</v>
      </c>
      <c r="L408">
        <v>1</v>
      </c>
      <c r="M408">
        <v>543</v>
      </c>
      <c r="O408">
        <v>4</v>
      </c>
      <c r="P408">
        <v>3</v>
      </c>
      <c r="Q408" t="s">
        <v>28</v>
      </c>
      <c r="R408">
        <v>3</v>
      </c>
      <c r="S408">
        <v>7969</v>
      </c>
      <c r="T408" t="s">
        <v>16</v>
      </c>
    </row>
    <row r="409" spans="1:20" x14ac:dyDescent="0.25">
      <c r="A409">
        <v>45</v>
      </c>
      <c r="B409" t="str">
        <f t="shared" si="6"/>
        <v>45-54</v>
      </c>
      <c r="C409" t="s">
        <v>21</v>
      </c>
      <c r="F409" t="s">
        <v>17</v>
      </c>
      <c r="G409">
        <v>192</v>
      </c>
      <c r="H409" t="s">
        <v>23</v>
      </c>
      <c r="I409">
        <v>10</v>
      </c>
      <c r="J409">
        <v>2</v>
      </c>
      <c r="K409" t="s">
        <v>19</v>
      </c>
      <c r="L409">
        <v>1</v>
      </c>
      <c r="M409">
        <v>544</v>
      </c>
      <c r="O409">
        <v>1</v>
      </c>
      <c r="P409">
        <v>1</v>
      </c>
      <c r="Q409" t="s">
        <v>24</v>
      </c>
      <c r="R409">
        <v>4</v>
      </c>
      <c r="S409">
        <v>2654</v>
      </c>
      <c r="T409" t="s">
        <v>21</v>
      </c>
    </row>
    <row r="410" spans="1:20" x14ac:dyDescent="0.25">
      <c r="A410">
        <v>52</v>
      </c>
      <c r="B410" t="str">
        <f t="shared" si="6"/>
        <v>45-54</v>
      </c>
      <c r="C410" t="s">
        <v>21</v>
      </c>
      <c r="F410" t="s">
        <v>17</v>
      </c>
      <c r="G410">
        <v>1490</v>
      </c>
      <c r="H410" t="s">
        <v>23</v>
      </c>
      <c r="I410">
        <v>4</v>
      </c>
      <c r="J410">
        <v>2</v>
      </c>
      <c r="K410" t="s">
        <v>19</v>
      </c>
      <c r="L410">
        <v>1</v>
      </c>
      <c r="M410">
        <v>546</v>
      </c>
      <c r="O410">
        <v>4</v>
      </c>
      <c r="P410">
        <v>4</v>
      </c>
      <c r="Q410" t="s">
        <v>31</v>
      </c>
      <c r="R410">
        <v>4</v>
      </c>
      <c r="S410">
        <v>16555</v>
      </c>
      <c r="T410" t="s">
        <v>21</v>
      </c>
    </row>
    <row r="411" spans="1:20" x14ac:dyDescent="0.25">
      <c r="A411">
        <v>42</v>
      </c>
      <c r="B411" t="str">
        <f t="shared" si="6"/>
        <v>35-44</v>
      </c>
      <c r="C411" t="s">
        <v>21</v>
      </c>
      <c r="F411" t="s">
        <v>22</v>
      </c>
      <c r="G411">
        <v>532</v>
      </c>
      <c r="H411" t="s">
        <v>23</v>
      </c>
      <c r="I411">
        <v>29</v>
      </c>
      <c r="J411">
        <v>2</v>
      </c>
      <c r="K411" t="s">
        <v>19</v>
      </c>
      <c r="L411">
        <v>1</v>
      </c>
      <c r="M411">
        <v>547</v>
      </c>
      <c r="O411">
        <v>1</v>
      </c>
      <c r="P411">
        <v>2</v>
      </c>
      <c r="Q411" t="s">
        <v>24</v>
      </c>
      <c r="R411">
        <v>3</v>
      </c>
      <c r="S411">
        <v>4556</v>
      </c>
      <c r="T411" t="s">
        <v>21</v>
      </c>
    </row>
    <row r="412" spans="1:20" x14ac:dyDescent="0.25">
      <c r="A412">
        <v>30</v>
      </c>
      <c r="B412" t="str">
        <f t="shared" si="6"/>
        <v>25-34</v>
      </c>
      <c r="C412" t="s">
        <v>21</v>
      </c>
      <c r="F412" t="s">
        <v>17</v>
      </c>
      <c r="G412">
        <v>317</v>
      </c>
      <c r="H412" t="s">
        <v>23</v>
      </c>
      <c r="I412">
        <v>2</v>
      </c>
      <c r="J412">
        <v>3</v>
      </c>
      <c r="K412" t="s">
        <v>19</v>
      </c>
      <c r="L412">
        <v>1</v>
      </c>
      <c r="M412">
        <v>548</v>
      </c>
      <c r="O412">
        <v>3</v>
      </c>
      <c r="P412">
        <v>2</v>
      </c>
      <c r="Q412" t="s">
        <v>28</v>
      </c>
      <c r="R412">
        <v>4</v>
      </c>
      <c r="S412">
        <v>6091</v>
      </c>
      <c r="T412" t="s">
        <v>21</v>
      </c>
    </row>
    <row r="413" spans="1:20" x14ac:dyDescent="0.25">
      <c r="A413">
        <v>60</v>
      </c>
      <c r="B413" t="str">
        <f t="shared" si="6"/>
        <v>55+</v>
      </c>
      <c r="C413" t="s">
        <v>21</v>
      </c>
      <c r="F413" t="s">
        <v>17</v>
      </c>
      <c r="G413">
        <v>422</v>
      </c>
      <c r="H413" t="s">
        <v>23</v>
      </c>
      <c r="I413">
        <v>7</v>
      </c>
      <c r="J413">
        <v>3</v>
      </c>
      <c r="K413" t="s">
        <v>19</v>
      </c>
      <c r="L413">
        <v>1</v>
      </c>
      <c r="M413">
        <v>549</v>
      </c>
      <c r="O413">
        <v>1</v>
      </c>
      <c r="P413">
        <v>5</v>
      </c>
      <c r="Q413" t="s">
        <v>31</v>
      </c>
      <c r="R413">
        <v>1</v>
      </c>
      <c r="S413">
        <v>19566</v>
      </c>
      <c r="T413" t="s">
        <v>21</v>
      </c>
    </row>
    <row r="414" spans="1:20" x14ac:dyDescent="0.25">
      <c r="A414">
        <v>46</v>
      </c>
      <c r="B414" t="str">
        <f t="shared" si="6"/>
        <v>45-54</v>
      </c>
      <c r="C414" t="s">
        <v>21</v>
      </c>
      <c r="F414" t="s">
        <v>17</v>
      </c>
      <c r="G414">
        <v>1485</v>
      </c>
      <c r="H414" t="s">
        <v>23</v>
      </c>
      <c r="I414">
        <v>18</v>
      </c>
      <c r="J414">
        <v>3</v>
      </c>
      <c r="K414" t="s">
        <v>27</v>
      </c>
      <c r="L414">
        <v>1</v>
      </c>
      <c r="M414">
        <v>550</v>
      </c>
      <c r="O414">
        <v>3</v>
      </c>
      <c r="P414">
        <v>2</v>
      </c>
      <c r="Q414" t="s">
        <v>28</v>
      </c>
      <c r="R414">
        <v>3</v>
      </c>
      <c r="S414">
        <v>4810</v>
      </c>
      <c r="T414" t="s">
        <v>21</v>
      </c>
    </row>
    <row r="415" spans="1:20" x14ac:dyDescent="0.25">
      <c r="A415">
        <v>42</v>
      </c>
      <c r="B415" t="str">
        <f t="shared" si="6"/>
        <v>35-44</v>
      </c>
      <c r="C415" t="s">
        <v>21</v>
      </c>
      <c r="F415" t="s">
        <v>22</v>
      </c>
      <c r="G415">
        <v>1368</v>
      </c>
      <c r="H415" t="s">
        <v>23</v>
      </c>
      <c r="I415">
        <v>28</v>
      </c>
      <c r="J415">
        <v>4</v>
      </c>
      <c r="K415" t="s">
        <v>35</v>
      </c>
      <c r="L415">
        <v>1</v>
      </c>
      <c r="M415">
        <v>551</v>
      </c>
      <c r="O415">
        <v>4</v>
      </c>
      <c r="P415">
        <v>2</v>
      </c>
      <c r="Q415" t="s">
        <v>29</v>
      </c>
      <c r="R415">
        <v>4</v>
      </c>
      <c r="S415">
        <v>4523</v>
      </c>
      <c r="T415" t="s">
        <v>21</v>
      </c>
    </row>
    <row r="416" spans="1:20" x14ac:dyDescent="0.25">
      <c r="A416">
        <v>24</v>
      </c>
      <c r="B416" t="str">
        <f t="shared" si="6"/>
        <v>18-24</v>
      </c>
      <c r="C416" t="s">
        <v>16</v>
      </c>
      <c r="F416" t="s">
        <v>17</v>
      </c>
      <c r="G416">
        <v>1448</v>
      </c>
      <c r="H416" t="s">
        <v>18</v>
      </c>
      <c r="I416">
        <v>1</v>
      </c>
      <c r="J416">
        <v>1</v>
      </c>
      <c r="K416" t="s">
        <v>35</v>
      </c>
      <c r="L416">
        <v>1</v>
      </c>
      <c r="M416">
        <v>554</v>
      </c>
      <c r="O416">
        <v>1</v>
      </c>
      <c r="P416">
        <v>1</v>
      </c>
      <c r="Q416" t="s">
        <v>32</v>
      </c>
      <c r="R416">
        <v>2</v>
      </c>
      <c r="S416">
        <v>3202</v>
      </c>
      <c r="T416" t="s">
        <v>16</v>
      </c>
    </row>
    <row r="417" spans="1:20" x14ac:dyDescent="0.25">
      <c r="A417">
        <v>34</v>
      </c>
      <c r="B417" t="str">
        <f t="shared" si="6"/>
        <v>25-34</v>
      </c>
      <c r="C417" t="s">
        <v>16</v>
      </c>
      <c r="F417" t="s">
        <v>22</v>
      </c>
      <c r="G417">
        <v>296</v>
      </c>
      <c r="H417" t="s">
        <v>18</v>
      </c>
      <c r="I417">
        <v>6</v>
      </c>
      <c r="J417">
        <v>2</v>
      </c>
      <c r="K417" t="s">
        <v>34</v>
      </c>
      <c r="L417">
        <v>1</v>
      </c>
      <c r="M417">
        <v>555</v>
      </c>
      <c r="O417">
        <v>4</v>
      </c>
      <c r="P417">
        <v>1</v>
      </c>
      <c r="Q417" t="s">
        <v>32</v>
      </c>
      <c r="R417">
        <v>3</v>
      </c>
      <c r="S417">
        <v>2351</v>
      </c>
      <c r="T417" t="s">
        <v>21</v>
      </c>
    </row>
    <row r="418" spans="1:20" x14ac:dyDescent="0.25">
      <c r="A418">
        <v>38</v>
      </c>
      <c r="B418" t="str">
        <f t="shared" si="6"/>
        <v>35-44</v>
      </c>
      <c r="C418" t="s">
        <v>21</v>
      </c>
      <c r="F418" t="s">
        <v>22</v>
      </c>
      <c r="G418">
        <v>1490</v>
      </c>
      <c r="H418" t="s">
        <v>23</v>
      </c>
      <c r="I418">
        <v>2</v>
      </c>
      <c r="J418">
        <v>2</v>
      </c>
      <c r="K418" t="s">
        <v>19</v>
      </c>
      <c r="L418">
        <v>1</v>
      </c>
      <c r="M418">
        <v>556</v>
      </c>
      <c r="O418">
        <v>4</v>
      </c>
      <c r="P418">
        <v>1</v>
      </c>
      <c r="Q418" t="s">
        <v>26</v>
      </c>
      <c r="R418">
        <v>4</v>
      </c>
      <c r="S418">
        <v>1702</v>
      </c>
      <c r="T418" t="s">
        <v>16</v>
      </c>
    </row>
    <row r="419" spans="1:20" x14ac:dyDescent="0.25">
      <c r="A419">
        <v>40</v>
      </c>
      <c r="B419" t="str">
        <f t="shared" si="6"/>
        <v>35-44</v>
      </c>
      <c r="C419" t="s">
        <v>21</v>
      </c>
      <c r="F419" t="s">
        <v>17</v>
      </c>
      <c r="G419">
        <v>1398</v>
      </c>
      <c r="H419" t="s">
        <v>18</v>
      </c>
      <c r="I419">
        <v>2</v>
      </c>
      <c r="J419">
        <v>4</v>
      </c>
      <c r="K419" t="s">
        <v>19</v>
      </c>
      <c r="L419">
        <v>1</v>
      </c>
      <c r="M419">
        <v>558</v>
      </c>
      <c r="O419">
        <v>3</v>
      </c>
      <c r="P419">
        <v>5</v>
      </c>
      <c r="Q419" t="s">
        <v>31</v>
      </c>
      <c r="R419">
        <v>3</v>
      </c>
      <c r="S419">
        <v>18041</v>
      </c>
      <c r="T419" t="s">
        <v>21</v>
      </c>
    </row>
    <row r="420" spans="1:20" x14ac:dyDescent="0.25">
      <c r="A420">
        <v>26</v>
      </c>
      <c r="B420" t="str">
        <f t="shared" si="6"/>
        <v>25-34</v>
      </c>
      <c r="C420" t="s">
        <v>21</v>
      </c>
      <c r="F420" t="s">
        <v>17</v>
      </c>
      <c r="G420">
        <v>1349</v>
      </c>
      <c r="H420" t="s">
        <v>23</v>
      </c>
      <c r="I420">
        <v>23</v>
      </c>
      <c r="J420">
        <v>3</v>
      </c>
      <c r="K420" t="s">
        <v>19</v>
      </c>
      <c r="L420">
        <v>1</v>
      </c>
      <c r="M420">
        <v>560</v>
      </c>
      <c r="O420">
        <v>1</v>
      </c>
      <c r="P420">
        <v>1</v>
      </c>
      <c r="Q420" t="s">
        <v>24</v>
      </c>
      <c r="R420">
        <v>4</v>
      </c>
      <c r="S420">
        <v>2886</v>
      </c>
      <c r="T420" t="s">
        <v>21</v>
      </c>
    </row>
    <row r="421" spans="1:20" x14ac:dyDescent="0.25">
      <c r="A421">
        <v>30</v>
      </c>
      <c r="B421" t="str">
        <f t="shared" si="6"/>
        <v>25-34</v>
      </c>
      <c r="C421" t="s">
        <v>21</v>
      </c>
      <c r="F421" t="s">
        <v>30</v>
      </c>
      <c r="G421">
        <v>1400</v>
      </c>
      <c r="H421" t="s">
        <v>23</v>
      </c>
      <c r="I421">
        <v>3</v>
      </c>
      <c r="J421">
        <v>3</v>
      </c>
      <c r="K421" t="s">
        <v>19</v>
      </c>
      <c r="L421">
        <v>1</v>
      </c>
      <c r="M421">
        <v>562</v>
      </c>
      <c r="O421">
        <v>3</v>
      </c>
      <c r="P421">
        <v>1</v>
      </c>
      <c r="Q421" t="s">
        <v>26</v>
      </c>
      <c r="R421">
        <v>4</v>
      </c>
      <c r="S421">
        <v>2097</v>
      </c>
      <c r="T421" t="s">
        <v>21</v>
      </c>
    </row>
    <row r="422" spans="1:20" x14ac:dyDescent="0.25">
      <c r="A422">
        <v>29</v>
      </c>
      <c r="B422" t="str">
        <f t="shared" si="6"/>
        <v>25-34</v>
      </c>
      <c r="C422" t="s">
        <v>21</v>
      </c>
      <c r="F422" t="s">
        <v>17</v>
      </c>
      <c r="G422">
        <v>986</v>
      </c>
      <c r="H422" t="s">
        <v>23</v>
      </c>
      <c r="I422">
        <v>3</v>
      </c>
      <c r="J422">
        <v>4</v>
      </c>
      <c r="K422" t="s">
        <v>27</v>
      </c>
      <c r="L422">
        <v>1</v>
      </c>
      <c r="M422">
        <v>564</v>
      </c>
      <c r="O422">
        <v>2</v>
      </c>
      <c r="P422">
        <v>3</v>
      </c>
      <c r="Q422" t="s">
        <v>33</v>
      </c>
      <c r="R422">
        <v>3</v>
      </c>
      <c r="S422">
        <v>11935</v>
      </c>
      <c r="T422" t="s">
        <v>21</v>
      </c>
    </row>
    <row r="423" spans="1:20" x14ac:dyDescent="0.25">
      <c r="A423">
        <v>29</v>
      </c>
      <c r="B423" t="str">
        <f t="shared" si="6"/>
        <v>25-34</v>
      </c>
      <c r="C423" t="s">
        <v>16</v>
      </c>
      <c r="F423" t="s">
        <v>17</v>
      </c>
      <c r="G423">
        <v>408</v>
      </c>
      <c r="H423" t="s">
        <v>23</v>
      </c>
      <c r="I423">
        <v>25</v>
      </c>
      <c r="J423">
        <v>5</v>
      </c>
      <c r="K423" t="s">
        <v>35</v>
      </c>
      <c r="L423">
        <v>1</v>
      </c>
      <c r="M423">
        <v>565</v>
      </c>
      <c r="O423">
        <v>3</v>
      </c>
      <c r="P423">
        <v>1</v>
      </c>
      <c r="Q423" t="s">
        <v>24</v>
      </c>
      <c r="R423">
        <v>2</v>
      </c>
      <c r="S423">
        <v>2546</v>
      </c>
      <c r="T423" t="s">
        <v>21</v>
      </c>
    </row>
    <row r="424" spans="1:20" x14ac:dyDescent="0.25">
      <c r="A424">
        <v>19</v>
      </c>
      <c r="B424" t="str">
        <f t="shared" si="6"/>
        <v>18-24</v>
      </c>
      <c r="C424" t="s">
        <v>16</v>
      </c>
      <c r="F424" t="s">
        <v>17</v>
      </c>
      <c r="G424">
        <v>489</v>
      </c>
      <c r="H424" t="s">
        <v>36</v>
      </c>
      <c r="I424">
        <v>2</v>
      </c>
      <c r="J424">
        <v>2</v>
      </c>
      <c r="K424" t="s">
        <v>35</v>
      </c>
      <c r="L424">
        <v>1</v>
      </c>
      <c r="M424">
        <v>566</v>
      </c>
      <c r="O424">
        <v>1</v>
      </c>
      <c r="P424">
        <v>1</v>
      </c>
      <c r="Q424" t="s">
        <v>36</v>
      </c>
      <c r="R424">
        <v>4</v>
      </c>
      <c r="S424">
        <v>2564</v>
      </c>
      <c r="T424" t="s">
        <v>21</v>
      </c>
    </row>
    <row r="425" spans="1:20" x14ac:dyDescent="0.25">
      <c r="A425">
        <v>30</v>
      </c>
      <c r="B425" t="str">
        <f t="shared" si="6"/>
        <v>25-34</v>
      </c>
      <c r="C425" t="s">
        <v>21</v>
      </c>
      <c r="F425" t="s">
        <v>30</v>
      </c>
      <c r="G425">
        <v>1398</v>
      </c>
      <c r="H425" t="s">
        <v>18</v>
      </c>
      <c r="I425">
        <v>22</v>
      </c>
      <c r="J425">
        <v>4</v>
      </c>
      <c r="K425" t="s">
        <v>25</v>
      </c>
      <c r="L425">
        <v>1</v>
      </c>
      <c r="M425">
        <v>567</v>
      </c>
      <c r="O425">
        <v>3</v>
      </c>
      <c r="P425">
        <v>3</v>
      </c>
      <c r="Q425" t="s">
        <v>20</v>
      </c>
      <c r="R425">
        <v>1</v>
      </c>
      <c r="S425">
        <v>8412</v>
      </c>
      <c r="T425" t="s">
        <v>21</v>
      </c>
    </row>
    <row r="426" spans="1:20" x14ac:dyDescent="0.25">
      <c r="A426">
        <v>57</v>
      </c>
      <c r="B426" t="str">
        <f t="shared" si="6"/>
        <v>55+</v>
      </c>
      <c r="C426" t="s">
        <v>21</v>
      </c>
      <c r="F426" t="s">
        <v>17</v>
      </c>
      <c r="G426">
        <v>210</v>
      </c>
      <c r="H426" t="s">
        <v>18</v>
      </c>
      <c r="I426">
        <v>29</v>
      </c>
      <c r="J426">
        <v>3</v>
      </c>
      <c r="K426" t="s">
        <v>34</v>
      </c>
      <c r="L426">
        <v>1</v>
      </c>
      <c r="M426">
        <v>568</v>
      </c>
      <c r="O426">
        <v>1</v>
      </c>
      <c r="P426">
        <v>4</v>
      </c>
      <c r="Q426" t="s">
        <v>31</v>
      </c>
      <c r="R426">
        <v>4</v>
      </c>
      <c r="S426">
        <v>14118</v>
      </c>
      <c r="T426" t="s">
        <v>21</v>
      </c>
    </row>
    <row r="427" spans="1:20" x14ac:dyDescent="0.25">
      <c r="A427">
        <v>50</v>
      </c>
      <c r="B427" t="str">
        <f t="shared" si="6"/>
        <v>45-54</v>
      </c>
      <c r="C427" t="s">
        <v>21</v>
      </c>
      <c r="F427" t="s">
        <v>17</v>
      </c>
      <c r="G427">
        <v>1099</v>
      </c>
      <c r="H427" t="s">
        <v>23</v>
      </c>
      <c r="I427">
        <v>29</v>
      </c>
      <c r="J427">
        <v>4</v>
      </c>
      <c r="K427" t="s">
        <v>19</v>
      </c>
      <c r="L427">
        <v>1</v>
      </c>
      <c r="M427">
        <v>569</v>
      </c>
      <c r="O427">
        <v>2</v>
      </c>
      <c r="P427">
        <v>4</v>
      </c>
      <c r="Q427" t="s">
        <v>31</v>
      </c>
      <c r="R427">
        <v>3</v>
      </c>
      <c r="S427">
        <v>17046</v>
      </c>
      <c r="T427" t="s">
        <v>21</v>
      </c>
    </row>
    <row r="428" spans="1:20" x14ac:dyDescent="0.25">
      <c r="A428">
        <v>30</v>
      </c>
      <c r="B428" t="str">
        <f t="shared" si="6"/>
        <v>25-34</v>
      </c>
      <c r="C428" t="s">
        <v>21</v>
      </c>
      <c r="F428" t="s">
        <v>30</v>
      </c>
      <c r="G428">
        <v>1116</v>
      </c>
      <c r="H428" t="s">
        <v>23</v>
      </c>
      <c r="I428">
        <v>2</v>
      </c>
      <c r="J428">
        <v>3</v>
      </c>
      <c r="K428" t="s">
        <v>27</v>
      </c>
      <c r="L428">
        <v>1</v>
      </c>
      <c r="M428">
        <v>571</v>
      </c>
      <c r="O428">
        <v>3</v>
      </c>
      <c r="P428">
        <v>1</v>
      </c>
      <c r="Q428" t="s">
        <v>26</v>
      </c>
      <c r="R428">
        <v>4</v>
      </c>
      <c r="S428">
        <v>2564</v>
      </c>
      <c r="T428" t="s">
        <v>21</v>
      </c>
    </row>
    <row r="429" spans="1:20" x14ac:dyDescent="0.25">
      <c r="A429">
        <v>60</v>
      </c>
      <c r="B429" t="str">
        <f t="shared" si="6"/>
        <v>55+</v>
      </c>
      <c r="C429" t="s">
        <v>21</v>
      </c>
      <c r="F429" t="s">
        <v>22</v>
      </c>
      <c r="G429">
        <v>1499</v>
      </c>
      <c r="H429" t="s">
        <v>18</v>
      </c>
      <c r="I429">
        <v>28</v>
      </c>
      <c r="J429">
        <v>3</v>
      </c>
      <c r="K429" t="s">
        <v>34</v>
      </c>
      <c r="L429">
        <v>1</v>
      </c>
      <c r="M429">
        <v>573</v>
      </c>
      <c r="O429">
        <v>3</v>
      </c>
      <c r="P429">
        <v>3</v>
      </c>
      <c r="Q429" t="s">
        <v>20</v>
      </c>
      <c r="R429">
        <v>1</v>
      </c>
      <c r="S429">
        <v>10266</v>
      </c>
      <c r="T429" t="s">
        <v>21</v>
      </c>
    </row>
    <row r="430" spans="1:20" x14ac:dyDescent="0.25">
      <c r="A430">
        <v>47</v>
      </c>
      <c r="B430" t="str">
        <f t="shared" si="6"/>
        <v>45-54</v>
      </c>
      <c r="C430" t="s">
        <v>21</v>
      </c>
      <c r="F430" t="s">
        <v>17</v>
      </c>
      <c r="G430">
        <v>983</v>
      </c>
      <c r="H430" t="s">
        <v>23</v>
      </c>
      <c r="I430">
        <v>2</v>
      </c>
      <c r="J430">
        <v>2</v>
      </c>
      <c r="K430" t="s">
        <v>27</v>
      </c>
      <c r="L430">
        <v>1</v>
      </c>
      <c r="M430">
        <v>574</v>
      </c>
      <c r="O430">
        <v>1</v>
      </c>
      <c r="P430">
        <v>2</v>
      </c>
      <c r="Q430" t="s">
        <v>28</v>
      </c>
      <c r="R430">
        <v>4</v>
      </c>
      <c r="S430">
        <v>5070</v>
      </c>
      <c r="T430" t="s">
        <v>21</v>
      </c>
    </row>
    <row r="431" spans="1:20" x14ac:dyDescent="0.25">
      <c r="A431">
        <v>46</v>
      </c>
      <c r="B431" t="str">
        <f t="shared" si="6"/>
        <v>45-54</v>
      </c>
      <c r="C431" t="s">
        <v>21</v>
      </c>
      <c r="F431" t="s">
        <v>17</v>
      </c>
      <c r="G431">
        <v>1009</v>
      </c>
      <c r="H431" t="s">
        <v>23</v>
      </c>
      <c r="I431">
        <v>2</v>
      </c>
      <c r="J431">
        <v>3</v>
      </c>
      <c r="K431" t="s">
        <v>19</v>
      </c>
      <c r="L431">
        <v>1</v>
      </c>
      <c r="M431">
        <v>575</v>
      </c>
      <c r="O431">
        <v>1</v>
      </c>
      <c r="P431">
        <v>4</v>
      </c>
      <c r="Q431" t="s">
        <v>33</v>
      </c>
      <c r="R431">
        <v>3</v>
      </c>
      <c r="S431">
        <v>17861</v>
      </c>
      <c r="T431" t="s">
        <v>21</v>
      </c>
    </row>
    <row r="432" spans="1:20" x14ac:dyDescent="0.25">
      <c r="A432">
        <v>35</v>
      </c>
      <c r="B432" t="str">
        <f t="shared" si="6"/>
        <v>35-44</v>
      </c>
      <c r="C432" t="s">
        <v>21</v>
      </c>
      <c r="F432" t="s">
        <v>17</v>
      </c>
      <c r="G432">
        <v>144</v>
      </c>
      <c r="H432" t="s">
        <v>23</v>
      </c>
      <c r="I432">
        <v>22</v>
      </c>
      <c r="J432">
        <v>3</v>
      </c>
      <c r="K432" t="s">
        <v>19</v>
      </c>
      <c r="L432">
        <v>1</v>
      </c>
      <c r="M432">
        <v>577</v>
      </c>
      <c r="O432">
        <v>4</v>
      </c>
      <c r="P432">
        <v>1</v>
      </c>
      <c r="Q432" t="s">
        <v>26</v>
      </c>
      <c r="R432">
        <v>3</v>
      </c>
      <c r="S432">
        <v>4230</v>
      </c>
      <c r="T432" t="s">
        <v>21</v>
      </c>
    </row>
    <row r="433" spans="1:20" x14ac:dyDescent="0.25">
      <c r="A433">
        <v>54</v>
      </c>
      <c r="B433" t="str">
        <f t="shared" si="6"/>
        <v>45-54</v>
      </c>
      <c r="C433" t="s">
        <v>21</v>
      </c>
      <c r="F433" t="s">
        <v>17</v>
      </c>
      <c r="G433">
        <v>548</v>
      </c>
      <c r="H433" t="s">
        <v>23</v>
      </c>
      <c r="I433">
        <v>8</v>
      </c>
      <c r="J433">
        <v>4</v>
      </c>
      <c r="K433" t="s">
        <v>19</v>
      </c>
      <c r="L433">
        <v>1</v>
      </c>
      <c r="M433">
        <v>578</v>
      </c>
      <c r="O433">
        <v>3</v>
      </c>
      <c r="P433">
        <v>2</v>
      </c>
      <c r="Q433" t="s">
        <v>26</v>
      </c>
      <c r="R433">
        <v>3</v>
      </c>
      <c r="S433">
        <v>3780</v>
      </c>
      <c r="T433" t="s">
        <v>21</v>
      </c>
    </row>
    <row r="434" spans="1:20" x14ac:dyDescent="0.25">
      <c r="A434">
        <v>34</v>
      </c>
      <c r="B434" t="str">
        <f t="shared" si="6"/>
        <v>25-34</v>
      </c>
      <c r="C434" t="s">
        <v>21</v>
      </c>
      <c r="F434" t="s">
        <v>17</v>
      </c>
      <c r="G434">
        <v>1303</v>
      </c>
      <c r="H434" t="s">
        <v>23</v>
      </c>
      <c r="I434">
        <v>2</v>
      </c>
      <c r="J434">
        <v>4</v>
      </c>
      <c r="K434" t="s">
        <v>19</v>
      </c>
      <c r="L434">
        <v>1</v>
      </c>
      <c r="M434">
        <v>579</v>
      </c>
      <c r="O434">
        <v>4</v>
      </c>
      <c r="P434">
        <v>1</v>
      </c>
      <c r="Q434" t="s">
        <v>24</v>
      </c>
      <c r="R434">
        <v>3</v>
      </c>
      <c r="S434">
        <v>2768</v>
      </c>
      <c r="T434" t="s">
        <v>21</v>
      </c>
    </row>
    <row r="435" spans="1:20" x14ac:dyDescent="0.25">
      <c r="A435">
        <v>46</v>
      </c>
      <c r="B435" t="str">
        <f t="shared" si="6"/>
        <v>45-54</v>
      </c>
      <c r="C435" t="s">
        <v>21</v>
      </c>
      <c r="F435" t="s">
        <v>17</v>
      </c>
      <c r="G435">
        <v>1125</v>
      </c>
      <c r="H435" t="s">
        <v>18</v>
      </c>
      <c r="I435">
        <v>10</v>
      </c>
      <c r="J435">
        <v>3</v>
      </c>
      <c r="K435" t="s">
        <v>34</v>
      </c>
      <c r="L435">
        <v>1</v>
      </c>
      <c r="M435">
        <v>580</v>
      </c>
      <c r="O435">
        <v>3</v>
      </c>
      <c r="P435">
        <v>3</v>
      </c>
      <c r="Q435" t="s">
        <v>20</v>
      </c>
      <c r="R435">
        <v>4</v>
      </c>
      <c r="S435">
        <v>9071</v>
      </c>
      <c r="T435" t="s">
        <v>16</v>
      </c>
    </row>
    <row r="436" spans="1:20" x14ac:dyDescent="0.25">
      <c r="A436">
        <v>31</v>
      </c>
      <c r="B436" t="str">
        <f t="shared" si="6"/>
        <v>25-34</v>
      </c>
      <c r="C436" t="s">
        <v>21</v>
      </c>
      <c r="F436" t="s">
        <v>17</v>
      </c>
      <c r="G436">
        <v>1274</v>
      </c>
      <c r="H436" t="s">
        <v>23</v>
      </c>
      <c r="I436">
        <v>9</v>
      </c>
      <c r="J436">
        <v>1</v>
      </c>
      <c r="K436" t="s">
        <v>19</v>
      </c>
      <c r="L436">
        <v>1</v>
      </c>
      <c r="M436">
        <v>581</v>
      </c>
      <c r="O436">
        <v>3</v>
      </c>
      <c r="P436">
        <v>3</v>
      </c>
      <c r="Q436" t="s">
        <v>28</v>
      </c>
      <c r="R436">
        <v>2</v>
      </c>
      <c r="S436">
        <v>10648</v>
      </c>
      <c r="T436" t="s">
        <v>21</v>
      </c>
    </row>
    <row r="437" spans="1:20" x14ac:dyDescent="0.25">
      <c r="A437">
        <v>33</v>
      </c>
      <c r="B437" t="str">
        <f t="shared" si="6"/>
        <v>25-34</v>
      </c>
      <c r="C437" t="s">
        <v>16</v>
      </c>
      <c r="F437" t="s">
        <v>17</v>
      </c>
      <c r="G437">
        <v>1277</v>
      </c>
      <c r="H437" t="s">
        <v>23</v>
      </c>
      <c r="I437">
        <v>15</v>
      </c>
      <c r="J437">
        <v>1</v>
      </c>
      <c r="K437" t="s">
        <v>27</v>
      </c>
      <c r="L437">
        <v>1</v>
      </c>
      <c r="M437">
        <v>582</v>
      </c>
      <c r="O437">
        <v>2</v>
      </c>
      <c r="P437">
        <v>3</v>
      </c>
      <c r="Q437" t="s">
        <v>31</v>
      </c>
      <c r="R437">
        <v>3</v>
      </c>
      <c r="S437">
        <v>13610</v>
      </c>
      <c r="T437" t="s">
        <v>16</v>
      </c>
    </row>
    <row r="438" spans="1:20" x14ac:dyDescent="0.25">
      <c r="A438">
        <v>33</v>
      </c>
      <c r="B438" t="str">
        <f t="shared" si="6"/>
        <v>25-34</v>
      </c>
      <c r="C438" t="s">
        <v>16</v>
      </c>
      <c r="F438" t="s">
        <v>17</v>
      </c>
      <c r="G438">
        <v>587</v>
      </c>
      <c r="H438" t="s">
        <v>23</v>
      </c>
      <c r="I438">
        <v>10</v>
      </c>
      <c r="J438">
        <v>1</v>
      </c>
      <c r="K438" t="s">
        <v>27</v>
      </c>
      <c r="L438">
        <v>1</v>
      </c>
      <c r="M438">
        <v>584</v>
      </c>
      <c r="O438">
        <v>1</v>
      </c>
      <c r="P438">
        <v>1</v>
      </c>
      <c r="Q438" t="s">
        <v>26</v>
      </c>
      <c r="R438">
        <v>4</v>
      </c>
      <c r="S438">
        <v>3408</v>
      </c>
      <c r="T438" t="s">
        <v>21</v>
      </c>
    </row>
    <row r="439" spans="1:20" x14ac:dyDescent="0.25">
      <c r="A439">
        <v>30</v>
      </c>
      <c r="B439" t="str">
        <f t="shared" si="6"/>
        <v>25-34</v>
      </c>
      <c r="C439" t="s">
        <v>21</v>
      </c>
      <c r="F439" t="s">
        <v>17</v>
      </c>
      <c r="G439">
        <v>413</v>
      </c>
      <c r="H439" t="s">
        <v>18</v>
      </c>
      <c r="I439">
        <v>7</v>
      </c>
      <c r="J439">
        <v>1</v>
      </c>
      <c r="K439" t="s">
        <v>34</v>
      </c>
      <c r="L439">
        <v>1</v>
      </c>
      <c r="M439">
        <v>585</v>
      </c>
      <c r="O439">
        <v>4</v>
      </c>
      <c r="P439">
        <v>1</v>
      </c>
      <c r="Q439" t="s">
        <v>32</v>
      </c>
      <c r="R439">
        <v>2</v>
      </c>
      <c r="S439">
        <v>2983</v>
      </c>
      <c r="T439" t="s">
        <v>21</v>
      </c>
    </row>
    <row r="440" spans="1:20" x14ac:dyDescent="0.25">
      <c r="A440">
        <v>35</v>
      </c>
      <c r="B440" t="str">
        <f t="shared" si="6"/>
        <v>35-44</v>
      </c>
      <c r="C440" t="s">
        <v>21</v>
      </c>
      <c r="F440" t="s">
        <v>17</v>
      </c>
      <c r="G440">
        <v>1276</v>
      </c>
      <c r="H440" t="s">
        <v>23</v>
      </c>
      <c r="I440">
        <v>16</v>
      </c>
      <c r="J440">
        <v>3</v>
      </c>
      <c r="K440" t="s">
        <v>19</v>
      </c>
      <c r="L440">
        <v>1</v>
      </c>
      <c r="M440">
        <v>586</v>
      </c>
      <c r="O440">
        <v>4</v>
      </c>
      <c r="P440">
        <v>3</v>
      </c>
      <c r="Q440" t="s">
        <v>29</v>
      </c>
      <c r="R440">
        <v>3</v>
      </c>
      <c r="S440">
        <v>7632</v>
      </c>
      <c r="T440" t="s">
        <v>16</v>
      </c>
    </row>
    <row r="441" spans="1:20" x14ac:dyDescent="0.25">
      <c r="A441">
        <v>31</v>
      </c>
      <c r="B441" t="str">
        <f t="shared" si="6"/>
        <v>25-34</v>
      </c>
      <c r="C441" t="s">
        <v>16</v>
      </c>
      <c r="F441" t="s">
        <v>22</v>
      </c>
      <c r="G441">
        <v>534</v>
      </c>
      <c r="H441" t="s">
        <v>23</v>
      </c>
      <c r="I441">
        <v>20</v>
      </c>
      <c r="J441">
        <v>3</v>
      </c>
      <c r="K441" t="s">
        <v>19</v>
      </c>
      <c r="L441">
        <v>1</v>
      </c>
      <c r="M441">
        <v>587</v>
      </c>
      <c r="O441">
        <v>1</v>
      </c>
      <c r="P441">
        <v>3</v>
      </c>
      <c r="Q441" t="s">
        <v>29</v>
      </c>
      <c r="R441">
        <v>3</v>
      </c>
      <c r="S441">
        <v>9824</v>
      </c>
      <c r="T441" t="s">
        <v>21</v>
      </c>
    </row>
    <row r="442" spans="1:20" x14ac:dyDescent="0.25">
      <c r="A442">
        <v>34</v>
      </c>
      <c r="B442" t="str">
        <f t="shared" si="6"/>
        <v>25-34</v>
      </c>
      <c r="C442" t="s">
        <v>16</v>
      </c>
      <c r="F442" t="s">
        <v>22</v>
      </c>
      <c r="G442">
        <v>988</v>
      </c>
      <c r="H442" t="s">
        <v>36</v>
      </c>
      <c r="I442">
        <v>23</v>
      </c>
      <c r="J442">
        <v>3</v>
      </c>
      <c r="K442" t="s">
        <v>36</v>
      </c>
      <c r="L442">
        <v>1</v>
      </c>
      <c r="M442">
        <v>590</v>
      </c>
      <c r="O442">
        <v>2</v>
      </c>
      <c r="P442">
        <v>3</v>
      </c>
      <c r="Q442" t="s">
        <v>36</v>
      </c>
      <c r="R442">
        <v>1</v>
      </c>
      <c r="S442">
        <v>9950</v>
      </c>
      <c r="T442" t="s">
        <v>16</v>
      </c>
    </row>
    <row r="443" spans="1:20" x14ac:dyDescent="0.25">
      <c r="A443">
        <v>42</v>
      </c>
      <c r="B443" t="str">
        <f t="shared" si="6"/>
        <v>35-44</v>
      </c>
      <c r="C443" t="s">
        <v>21</v>
      </c>
      <c r="F443" t="s">
        <v>22</v>
      </c>
      <c r="G443">
        <v>1474</v>
      </c>
      <c r="H443" t="s">
        <v>23</v>
      </c>
      <c r="I443">
        <v>5</v>
      </c>
      <c r="J443">
        <v>2</v>
      </c>
      <c r="K443" t="s">
        <v>25</v>
      </c>
      <c r="L443">
        <v>1</v>
      </c>
      <c r="M443">
        <v>591</v>
      </c>
      <c r="O443">
        <v>2</v>
      </c>
      <c r="P443">
        <v>1</v>
      </c>
      <c r="Q443" t="s">
        <v>26</v>
      </c>
      <c r="R443">
        <v>3</v>
      </c>
      <c r="S443">
        <v>2093</v>
      </c>
      <c r="T443" t="s">
        <v>21</v>
      </c>
    </row>
    <row r="444" spans="1:20" x14ac:dyDescent="0.25">
      <c r="A444">
        <v>36</v>
      </c>
      <c r="B444" t="str">
        <f t="shared" si="6"/>
        <v>35-44</v>
      </c>
      <c r="C444" t="s">
        <v>21</v>
      </c>
      <c r="F444" t="s">
        <v>30</v>
      </c>
      <c r="G444">
        <v>635</v>
      </c>
      <c r="H444" t="s">
        <v>18</v>
      </c>
      <c r="I444">
        <v>10</v>
      </c>
      <c r="J444">
        <v>4</v>
      </c>
      <c r="K444" t="s">
        <v>27</v>
      </c>
      <c r="L444">
        <v>1</v>
      </c>
      <c r="M444">
        <v>592</v>
      </c>
      <c r="O444">
        <v>2</v>
      </c>
      <c r="P444">
        <v>3</v>
      </c>
      <c r="Q444" t="s">
        <v>20</v>
      </c>
      <c r="R444">
        <v>4</v>
      </c>
      <c r="S444">
        <v>9980</v>
      </c>
      <c r="T444" t="s">
        <v>21</v>
      </c>
    </row>
    <row r="445" spans="1:20" x14ac:dyDescent="0.25">
      <c r="A445">
        <v>22</v>
      </c>
      <c r="B445" t="str">
        <f t="shared" si="6"/>
        <v>18-24</v>
      </c>
      <c r="C445" t="s">
        <v>16</v>
      </c>
      <c r="F445" t="s">
        <v>22</v>
      </c>
      <c r="G445">
        <v>1368</v>
      </c>
      <c r="H445" t="s">
        <v>23</v>
      </c>
      <c r="I445">
        <v>4</v>
      </c>
      <c r="J445">
        <v>1</v>
      </c>
      <c r="K445" t="s">
        <v>35</v>
      </c>
      <c r="L445">
        <v>1</v>
      </c>
      <c r="M445">
        <v>593</v>
      </c>
      <c r="O445">
        <v>3</v>
      </c>
      <c r="P445">
        <v>1</v>
      </c>
      <c r="Q445" t="s">
        <v>26</v>
      </c>
      <c r="R445">
        <v>3</v>
      </c>
      <c r="S445">
        <v>3894</v>
      </c>
      <c r="T445" t="s">
        <v>21</v>
      </c>
    </row>
    <row r="446" spans="1:20" x14ac:dyDescent="0.25">
      <c r="A446">
        <v>48</v>
      </c>
      <c r="B446" t="str">
        <f t="shared" si="6"/>
        <v>45-54</v>
      </c>
      <c r="C446" t="s">
        <v>21</v>
      </c>
      <c r="F446" t="s">
        <v>17</v>
      </c>
      <c r="G446">
        <v>163</v>
      </c>
      <c r="H446" t="s">
        <v>18</v>
      </c>
      <c r="I446">
        <v>2</v>
      </c>
      <c r="J446">
        <v>5</v>
      </c>
      <c r="K446" t="s">
        <v>34</v>
      </c>
      <c r="L446">
        <v>1</v>
      </c>
      <c r="M446">
        <v>595</v>
      </c>
      <c r="O446">
        <v>2</v>
      </c>
      <c r="P446">
        <v>2</v>
      </c>
      <c r="Q446" t="s">
        <v>20</v>
      </c>
      <c r="R446">
        <v>4</v>
      </c>
      <c r="S446">
        <v>4051</v>
      </c>
      <c r="T446" t="s">
        <v>21</v>
      </c>
    </row>
    <row r="447" spans="1:20" x14ac:dyDescent="0.25">
      <c r="A447">
        <v>55</v>
      </c>
      <c r="B447" t="str">
        <f t="shared" si="6"/>
        <v>55+</v>
      </c>
      <c r="C447" t="s">
        <v>21</v>
      </c>
      <c r="F447" t="s">
        <v>17</v>
      </c>
      <c r="G447">
        <v>1117</v>
      </c>
      <c r="H447" t="s">
        <v>18</v>
      </c>
      <c r="I447">
        <v>18</v>
      </c>
      <c r="J447">
        <v>5</v>
      </c>
      <c r="K447" t="s">
        <v>19</v>
      </c>
      <c r="L447">
        <v>1</v>
      </c>
      <c r="M447">
        <v>597</v>
      </c>
      <c r="O447">
        <v>1</v>
      </c>
      <c r="P447">
        <v>4</v>
      </c>
      <c r="Q447" t="s">
        <v>31</v>
      </c>
      <c r="R447">
        <v>2</v>
      </c>
      <c r="S447">
        <v>16835</v>
      </c>
      <c r="T447" t="s">
        <v>21</v>
      </c>
    </row>
    <row r="448" spans="1:20" x14ac:dyDescent="0.25">
      <c r="A448">
        <v>41</v>
      </c>
      <c r="B448" t="str">
        <f t="shared" si="6"/>
        <v>35-44</v>
      </c>
      <c r="C448" t="s">
        <v>21</v>
      </c>
      <c r="F448" t="s">
        <v>30</v>
      </c>
      <c r="G448">
        <v>267</v>
      </c>
      <c r="H448" t="s">
        <v>18</v>
      </c>
      <c r="I448">
        <v>10</v>
      </c>
      <c r="J448">
        <v>2</v>
      </c>
      <c r="K448" t="s">
        <v>19</v>
      </c>
      <c r="L448">
        <v>1</v>
      </c>
      <c r="M448">
        <v>599</v>
      </c>
      <c r="O448">
        <v>4</v>
      </c>
      <c r="P448">
        <v>2</v>
      </c>
      <c r="Q448" t="s">
        <v>20</v>
      </c>
      <c r="R448">
        <v>4</v>
      </c>
      <c r="S448">
        <v>6230</v>
      </c>
      <c r="T448" t="s">
        <v>21</v>
      </c>
    </row>
    <row r="449" spans="1:20" x14ac:dyDescent="0.25">
      <c r="A449">
        <v>35</v>
      </c>
      <c r="B449" t="str">
        <f t="shared" si="6"/>
        <v>35-44</v>
      </c>
      <c r="C449" t="s">
        <v>21</v>
      </c>
      <c r="F449" t="s">
        <v>17</v>
      </c>
      <c r="G449">
        <v>619</v>
      </c>
      <c r="H449" t="s">
        <v>18</v>
      </c>
      <c r="I449">
        <v>1</v>
      </c>
      <c r="J449">
        <v>3</v>
      </c>
      <c r="K449" t="s">
        <v>34</v>
      </c>
      <c r="L449">
        <v>1</v>
      </c>
      <c r="M449">
        <v>600</v>
      </c>
      <c r="O449">
        <v>2</v>
      </c>
      <c r="P449">
        <v>2</v>
      </c>
      <c r="Q449" t="s">
        <v>20</v>
      </c>
      <c r="R449">
        <v>3</v>
      </c>
      <c r="S449">
        <v>4717</v>
      </c>
      <c r="T449" t="s">
        <v>21</v>
      </c>
    </row>
    <row r="450" spans="1:20" x14ac:dyDescent="0.25">
      <c r="A450">
        <v>40</v>
      </c>
      <c r="B450" t="str">
        <f t="shared" si="6"/>
        <v>35-44</v>
      </c>
      <c r="C450" t="s">
        <v>21</v>
      </c>
      <c r="F450" t="s">
        <v>17</v>
      </c>
      <c r="G450">
        <v>302</v>
      </c>
      <c r="H450" t="s">
        <v>23</v>
      </c>
      <c r="I450">
        <v>6</v>
      </c>
      <c r="J450">
        <v>3</v>
      </c>
      <c r="K450" t="s">
        <v>19</v>
      </c>
      <c r="L450">
        <v>1</v>
      </c>
      <c r="M450">
        <v>601</v>
      </c>
      <c r="O450">
        <v>2</v>
      </c>
      <c r="P450">
        <v>4</v>
      </c>
      <c r="Q450" t="s">
        <v>28</v>
      </c>
      <c r="R450">
        <v>3</v>
      </c>
      <c r="S450">
        <v>13237</v>
      </c>
      <c r="T450" t="s">
        <v>21</v>
      </c>
    </row>
    <row r="451" spans="1:20" x14ac:dyDescent="0.25">
      <c r="A451">
        <v>39</v>
      </c>
      <c r="B451" t="str">
        <f t="shared" ref="B451:B514" si="7">IF(A451&lt;=24,"18-24",IF(A451&lt;=34,"25-34",IF(A451&lt;=44,"35-44",IF(A451&lt;=54,"45-54","55+"))))</f>
        <v>35-44</v>
      </c>
      <c r="C451" t="s">
        <v>21</v>
      </c>
      <c r="F451" t="s">
        <v>22</v>
      </c>
      <c r="G451">
        <v>443</v>
      </c>
      <c r="H451" t="s">
        <v>23</v>
      </c>
      <c r="I451">
        <v>8</v>
      </c>
      <c r="J451">
        <v>1</v>
      </c>
      <c r="K451" t="s">
        <v>19</v>
      </c>
      <c r="L451">
        <v>1</v>
      </c>
      <c r="M451">
        <v>602</v>
      </c>
      <c r="O451">
        <v>3</v>
      </c>
      <c r="P451">
        <v>1</v>
      </c>
      <c r="Q451" t="s">
        <v>26</v>
      </c>
      <c r="R451">
        <v>3</v>
      </c>
      <c r="S451">
        <v>3755</v>
      </c>
      <c r="T451" t="s">
        <v>21</v>
      </c>
    </row>
    <row r="452" spans="1:20" x14ac:dyDescent="0.25">
      <c r="A452">
        <v>31</v>
      </c>
      <c r="B452" t="str">
        <f t="shared" si="7"/>
        <v>25-34</v>
      </c>
      <c r="C452" t="s">
        <v>21</v>
      </c>
      <c r="F452" t="s">
        <v>17</v>
      </c>
      <c r="G452">
        <v>828</v>
      </c>
      <c r="H452" t="s">
        <v>18</v>
      </c>
      <c r="I452">
        <v>2</v>
      </c>
      <c r="J452">
        <v>1</v>
      </c>
      <c r="K452" t="s">
        <v>19</v>
      </c>
      <c r="L452">
        <v>1</v>
      </c>
      <c r="M452">
        <v>604</v>
      </c>
      <c r="O452">
        <v>2</v>
      </c>
      <c r="P452">
        <v>2</v>
      </c>
      <c r="Q452" t="s">
        <v>20</v>
      </c>
      <c r="R452">
        <v>4</v>
      </c>
      <c r="S452">
        <v>6582</v>
      </c>
      <c r="T452" t="s">
        <v>16</v>
      </c>
    </row>
    <row r="453" spans="1:20" x14ac:dyDescent="0.25">
      <c r="A453">
        <v>42</v>
      </c>
      <c r="B453" t="str">
        <f t="shared" si="7"/>
        <v>35-44</v>
      </c>
      <c r="C453" t="s">
        <v>21</v>
      </c>
      <c r="F453" t="s">
        <v>17</v>
      </c>
      <c r="G453">
        <v>319</v>
      </c>
      <c r="H453" t="s">
        <v>23</v>
      </c>
      <c r="I453">
        <v>24</v>
      </c>
      <c r="J453">
        <v>3</v>
      </c>
      <c r="K453" t="s">
        <v>27</v>
      </c>
      <c r="L453">
        <v>1</v>
      </c>
      <c r="M453">
        <v>605</v>
      </c>
      <c r="O453">
        <v>4</v>
      </c>
      <c r="P453">
        <v>3</v>
      </c>
      <c r="Q453" t="s">
        <v>28</v>
      </c>
      <c r="R453">
        <v>1</v>
      </c>
      <c r="S453">
        <v>7406</v>
      </c>
      <c r="T453" t="s">
        <v>16</v>
      </c>
    </row>
    <row r="454" spans="1:20" x14ac:dyDescent="0.25">
      <c r="A454">
        <v>45</v>
      </c>
      <c r="B454" t="str">
        <f t="shared" si="7"/>
        <v>45-54</v>
      </c>
      <c r="C454" t="s">
        <v>21</v>
      </c>
      <c r="F454" t="s">
        <v>17</v>
      </c>
      <c r="G454">
        <v>561</v>
      </c>
      <c r="H454" t="s">
        <v>18</v>
      </c>
      <c r="I454">
        <v>2</v>
      </c>
      <c r="J454">
        <v>3</v>
      </c>
      <c r="K454" t="s">
        <v>25</v>
      </c>
      <c r="L454">
        <v>1</v>
      </c>
      <c r="M454">
        <v>606</v>
      </c>
      <c r="O454">
        <v>4</v>
      </c>
      <c r="P454">
        <v>2</v>
      </c>
      <c r="Q454" t="s">
        <v>20</v>
      </c>
      <c r="R454">
        <v>2</v>
      </c>
      <c r="S454">
        <v>4805</v>
      </c>
      <c r="T454" t="s">
        <v>21</v>
      </c>
    </row>
    <row r="455" spans="1:20" x14ac:dyDescent="0.25">
      <c r="A455">
        <v>26</v>
      </c>
      <c r="B455" t="str">
        <f t="shared" si="7"/>
        <v>25-34</v>
      </c>
      <c r="C455" t="s">
        <v>16</v>
      </c>
      <c r="F455" t="s">
        <v>22</v>
      </c>
      <c r="G455">
        <v>426</v>
      </c>
      <c r="H455" t="s">
        <v>36</v>
      </c>
      <c r="I455">
        <v>17</v>
      </c>
      <c r="J455">
        <v>4</v>
      </c>
      <c r="K455" t="s">
        <v>19</v>
      </c>
      <c r="L455">
        <v>1</v>
      </c>
      <c r="M455">
        <v>608</v>
      </c>
      <c r="O455">
        <v>2</v>
      </c>
      <c r="P455">
        <v>1</v>
      </c>
      <c r="Q455" t="s">
        <v>36</v>
      </c>
      <c r="R455">
        <v>3</v>
      </c>
      <c r="S455">
        <v>2741</v>
      </c>
      <c r="T455" t="s">
        <v>16</v>
      </c>
    </row>
    <row r="456" spans="1:20" x14ac:dyDescent="0.25">
      <c r="A456">
        <v>29</v>
      </c>
      <c r="B456" t="str">
        <f t="shared" si="7"/>
        <v>25-34</v>
      </c>
      <c r="C456" t="s">
        <v>21</v>
      </c>
      <c r="F456" t="s">
        <v>17</v>
      </c>
      <c r="G456">
        <v>232</v>
      </c>
      <c r="H456" t="s">
        <v>23</v>
      </c>
      <c r="I456">
        <v>19</v>
      </c>
      <c r="J456">
        <v>3</v>
      </c>
      <c r="K456" t="s">
        <v>35</v>
      </c>
      <c r="L456">
        <v>1</v>
      </c>
      <c r="M456">
        <v>611</v>
      </c>
      <c r="O456">
        <v>4</v>
      </c>
      <c r="P456">
        <v>2</v>
      </c>
      <c r="Q456" t="s">
        <v>28</v>
      </c>
      <c r="R456">
        <v>4</v>
      </c>
      <c r="S456">
        <v>4262</v>
      </c>
      <c r="T456" t="s">
        <v>21</v>
      </c>
    </row>
    <row r="457" spans="1:20" x14ac:dyDescent="0.25">
      <c r="A457">
        <v>33</v>
      </c>
      <c r="B457" t="str">
        <f t="shared" si="7"/>
        <v>25-34</v>
      </c>
      <c r="C457" t="s">
        <v>21</v>
      </c>
      <c r="F457" t="s">
        <v>17</v>
      </c>
      <c r="G457">
        <v>922</v>
      </c>
      <c r="H457" t="s">
        <v>23</v>
      </c>
      <c r="I457">
        <v>1</v>
      </c>
      <c r="J457">
        <v>5</v>
      </c>
      <c r="K457" t="s">
        <v>27</v>
      </c>
      <c r="L457">
        <v>1</v>
      </c>
      <c r="M457">
        <v>612</v>
      </c>
      <c r="O457">
        <v>1</v>
      </c>
      <c r="P457">
        <v>4</v>
      </c>
      <c r="Q457" t="s">
        <v>33</v>
      </c>
      <c r="R457">
        <v>3</v>
      </c>
      <c r="S457">
        <v>16184</v>
      </c>
      <c r="T457" t="s">
        <v>21</v>
      </c>
    </row>
    <row r="458" spans="1:20" x14ac:dyDescent="0.25">
      <c r="A458">
        <v>31</v>
      </c>
      <c r="B458" t="str">
        <f t="shared" si="7"/>
        <v>25-34</v>
      </c>
      <c r="C458" t="s">
        <v>21</v>
      </c>
      <c r="F458" t="s">
        <v>17</v>
      </c>
      <c r="G458">
        <v>688</v>
      </c>
      <c r="H458" t="s">
        <v>18</v>
      </c>
      <c r="I458">
        <v>7</v>
      </c>
      <c r="J458">
        <v>3</v>
      </c>
      <c r="K458" t="s">
        <v>19</v>
      </c>
      <c r="L458">
        <v>1</v>
      </c>
      <c r="M458">
        <v>613</v>
      </c>
      <c r="O458">
        <v>3</v>
      </c>
      <c r="P458">
        <v>3</v>
      </c>
      <c r="Q458" t="s">
        <v>31</v>
      </c>
      <c r="R458">
        <v>4</v>
      </c>
      <c r="S458">
        <v>11557</v>
      </c>
      <c r="T458" t="s">
        <v>21</v>
      </c>
    </row>
    <row r="459" spans="1:20" x14ac:dyDescent="0.25">
      <c r="A459">
        <v>18</v>
      </c>
      <c r="B459" t="str">
        <f t="shared" si="7"/>
        <v>18-24</v>
      </c>
      <c r="C459" t="s">
        <v>16</v>
      </c>
      <c r="F459" t="s">
        <v>22</v>
      </c>
      <c r="G459">
        <v>1306</v>
      </c>
      <c r="H459" t="s">
        <v>18</v>
      </c>
      <c r="I459">
        <v>5</v>
      </c>
      <c r="J459">
        <v>3</v>
      </c>
      <c r="K459" t="s">
        <v>34</v>
      </c>
      <c r="L459">
        <v>1</v>
      </c>
      <c r="M459">
        <v>614</v>
      </c>
      <c r="O459">
        <v>2</v>
      </c>
      <c r="P459">
        <v>1</v>
      </c>
      <c r="Q459" t="s">
        <v>32</v>
      </c>
      <c r="R459">
        <v>2</v>
      </c>
      <c r="S459">
        <v>1878</v>
      </c>
      <c r="T459" t="s">
        <v>16</v>
      </c>
    </row>
    <row r="460" spans="1:20" x14ac:dyDescent="0.25">
      <c r="A460">
        <v>40</v>
      </c>
      <c r="B460" t="str">
        <f t="shared" si="7"/>
        <v>35-44</v>
      </c>
      <c r="C460" t="s">
        <v>21</v>
      </c>
      <c r="F460" t="s">
        <v>30</v>
      </c>
      <c r="G460">
        <v>1094</v>
      </c>
      <c r="H460" t="s">
        <v>18</v>
      </c>
      <c r="I460">
        <v>28</v>
      </c>
      <c r="J460">
        <v>3</v>
      </c>
      <c r="K460" t="s">
        <v>25</v>
      </c>
      <c r="L460">
        <v>1</v>
      </c>
      <c r="M460">
        <v>615</v>
      </c>
      <c r="O460">
        <v>3</v>
      </c>
      <c r="P460">
        <v>3</v>
      </c>
      <c r="Q460" t="s">
        <v>20</v>
      </c>
      <c r="R460">
        <v>1</v>
      </c>
      <c r="S460">
        <v>10932</v>
      </c>
      <c r="T460" t="s">
        <v>21</v>
      </c>
    </row>
    <row r="461" spans="1:20" x14ac:dyDescent="0.25">
      <c r="A461">
        <v>41</v>
      </c>
      <c r="B461" t="str">
        <f t="shared" si="7"/>
        <v>35-44</v>
      </c>
      <c r="C461" t="s">
        <v>21</v>
      </c>
      <c r="F461" t="s">
        <v>30</v>
      </c>
      <c r="G461">
        <v>509</v>
      </c>
      <c r="H461" t="s">
        <v>23</v>
      </c>
      <c r="I461">
        <v>2</v>
      </c>
      <c r="J461">
        <v>4</v>
      </c>
      <c r="K461" t="s">
        <v>25</v>
      </c>
      <c r="L461">
        <v>1</v>
      </c>
      <c r="M461">
        <v>616</v>
      </c>
      <c r="O461">
        <v>1</v>
      </c>
      <c r="P461">
        <v>2</v>
      </c>
      <c r="Q461" t="s">
        <v>29</v>
      </c>
      <c r="R461">
        <v>3</v>
      </c>
      <c r="S461">
        <v>6811</v>
      </c>
      <c r="T461" t="s">
        <v>16</v>
      </c>
    </row>
    <row r="462" spans="1:20" x14ac:dyDescent="0.25">
      <c r="A462">
        <v>26</v>
      </c>
      <c r="B462" t="str">
        <f t="shared" si="7"/>
        <v>25-34</v>
      </c>
      <c r="C462" t="s">
        <v>21</v>
      </c>
      <c r="F462" t="s">
        <v>17</v>
      </c>
      <c r="G462">
        <v>775</v>
      </c>
      <c r="H462" t="s">
        <v>18</v>
      </c>
      <c r="I462">
        <v>29</v>
      </c>
      <c r="J462">
        <v>2</v>
      </c>
      <c r="K462" t="s">
        <v>27</v>
      </c>
      <c r="L462">
        <v>1</v>
      </c>
      <c r="M462">
        <v>618</v>
      </c>
      <c r="O462">
        <v>1</v>
      </c>
      <c r="P462">
        <v>2</v>
      </c>
      <c r="Q462" t="s">
        <v>20</v>
      </c>
      <c r="R462">
        <v>3</v>
      </c>
      <c r="S462">
        <v>4306</v>
      </c>
      <c r="T462" t="s">
        <v>21</v>
      </c>
    </row>
    <row r="463" spans="1:20" x14ac:dyDescent="0.25">
      <c r="A463">
        <v>35</v>
      </c>
      <c r="B463" t="str">
        <f t="shared" si="7"/>
        <v>35-44</v>
      </c>
      <c r="C463" t="s">
        <v>21</v>
      </c>
      <c r="F463" t="s">
        <v>17</v>
      </c>
      <c r="G463">
        <v>195</v>
      </c>
      <c r="H463" t="s">
        <v>18</v>
      </c>
      <c r="I463">
        <v>1</v>
      </c>
      <c r="J463">
        <v>3</v>
      </c>
      <c r="K463" t="s">
        <v>27</v>
      </c>
      <c r="L463">
        <v>1</v>
      </c>
      <c r="M463">
        <v>620</v>
      </c>
      <c r="O463">
        <v>1</v>
      </c>
      <c r="P463">
        <v>2</v>
      </c>
      <c r="Q463" t="s">
        <v>20</v>
      </c>
      <c r="R463">
        <v>3</v>
      </c>
      <c r="S463">
        <v>4859</v>
      </c>
      <c r="T463" t="s">
        <v>21</v>
      </c>
    </row>
    <row r="464" spans="1:20" x14ac:dyDescent="0.25">
      <c r="A464">
        <v>34</v>
      </c>
      <c r="B464" t="str">
        <f t="shared" si="7"/>
        <v>25-34</v>
      </c>
      <c r="C464" t="s">
        <v>21</v>
      </c>
      <c r="F464" t="s">
        <v>17</v>
      </c>
      <c r="G464">
        <v>258</v>
      </c>
      <c r="H464" t="s">
        <v>18</v>
      </c>
      <c r="I464">
        <v>21</v>
      </c>
      <c r="J464">
        <v>4</v>
      </c>
      <c r="K464" t="s">
        <v>19</v>
      </c>
      <c r="L464">
        <v>1</v>
      </c>
      <c r="M464">
        <v>621</v>
      </c>
      <c r="O464">
        <v>4</v>
      </c>
      <c r="P464">
        <v>2</v>
      </c>
      <c r="Q464" t="s">
        <v>20</v>
      </c>
      <c r="R464">
        <v>4</v>
      </c>
      <c r="S464">
        <v>5337</v>
      </c>
      <c r="T464" t="s">
        <v>21</v>
      </c>
    </row>
    <row r="465" spans="1:20" x14ac:dyDescent="0.25">
      <c r="A465">
        <v>26</v>
      </c>
      <c r="B465" t="str">
        <f t="shared" si="7"/>
        <v>25-34</v>
      </c>
      <c r="C465" t="s">
        <v>16</v>
      </c>
      <c r="F465" t="s">
        <v>17</v>
      </c>
      <c r="G465">
        <v>471</v>
      </c>
      <c r="H465" t="s">
        <v>23</v>
      </c>
      <c r="I465">
        <v>24</v>
      </c>
      <c r="J465">
        <v>3</v>
      </c>
      <c r="K465" t="s">
        <v>35</v>
      </c>
      <c r="L465">
        <v>1</v>
      </c>
      <c r="M465">
        <v>622</v>
      </c>
      <c r="O465">
        <v>3</v>
      </c>
      <c r="P465">
        <v>1</v>
      </c>
      <c r="Q465" t="s">
        <v>26</v>
      </c>
      <c r="R465">
        <v>4</v>
      </c>
      <c r="S465">
        <v>2340</v>
      </c>
      <c r="T465" t="s">
        <v>16</v>
      </c>
    </row>
    <row r="466" spans="1:20" x14ac:dyDescent="0.25">
      <c r="A466">
        <v>37</v>
      </c>
      <c r="B466" t="str">
        <f t="shared" si="7"/>
        <v>35-44</v>
      </c>
      <c r="C466" t="s">
        <v>21</v>
      </c>
      <c r="F466" t="s">
        <v>17</v>
      </c>
      <c r="G466">
        <v>799</v>
      </c>
      <c r="H466" t="s">
        <v>23</v>
      </c>
      <c r="I466">
        <v>1</v>
      </c>
      <c r="J466">
        <v>3</v>
      </c>
      <c r="K466" t="s">
        <v>35</v>
      </c>
      <c r="L466">
        <v>1</v>
      </c>
      <c r="M466">
        <v>623</v>
      </c>
      <c r="O466">
        <v>2</v>
      </c>
      <c r="P466">
        <v>3</v>
      </c>
      <c r="Q466" t="s">
        <v>28</v>
      </c>
      <c r="R466">
        <v>4</v>
      </c>
      <c r="S466">
        <v>7491</v>
      </c>
      <c r="T466" t="s">
        <v>21</v>
      </c>
    </row>
    <row r="467" spans="1:20" x14ac:dyDescent="0.25">
      <c r="A467">
        <v>46</v>
      </c>
      <c r="B467" t="str">
        <f t="shared" si="7"/>
        <v>45-54</v>
      </c>
      <c r="C467" t="s">
        <v>21</v>
      </c>
      <c r="F467" t="s">
        <v>22</v>
      </c>
      <c r="G467">
        <v>1034</v>
      </c>
      <c r="H467" t="s">
        <v>23</v>
      </c>
      <c r="I467">
        <v>18</v>
      </c>
      <c r="J467">
        <v>1</v>
      </c>
      <c r="K467" t="s">
        <v>27</v>
      </c>
      <c r="L467">
        <v>1</v>
      </c>
      <c r="M467">
        <v>624</v>
      </c>
      <c r="O467">
        <v>1</v>
      </c>
      <c r="P467">
        <v>3</v>
      </c>
      <c r="Q467" t="s">
        <v>29</v>
      </c>
      <c r="R467">
        <v>3</v>
      </c>
      <c r="S467">
        <v>10527</v>
      </c>
      <c r="T467" t="s">
        <v>21</v>
      </c>
    </row>
    <row r="468" spans="1:20" x14ac:dyDescent="0.25">
      <c r="A468">
        <v>41</v>
      </c>
      <c r="B468" t="str">
        <f t="shared" si="7"/>
        <v>35-44</v>
      </c>
      <c r="C468" t="s">
        <v>21</v>
      </c>
      <c r="F468" t="s">
        <v>17</v>
      </c>
      <c r="G468">
        <v>1276</v>
      </c>
      <c r="H468" t="s">
        <v>18</v>
      </c>
      <c r="I468">
        <v>2</v>
      </c>
      <c r="J468">
        <v>5</v>
      </c>
      <c r="K468" t="s">
        <v>19</v>
      </c>
      <c r="L468">
        <v>1</v>
      </c>
      <c r="M468">
        <v>625</v>
      </c>
      <c r="O468">
        <v>2</v>
      </c>
      <c r="P468">
        <v>4</v>
      </c>
      <c r="Q468" t="s">
        <v>31</v>
      </c>
      <c r="R468">
        <v>1</v>
      </c>
      <c r="S468">
        <v>16595</v>
      </c>
      <c r="T468" t="s">
        <v>21</v>
      </c>
    </row>
    <row r="469" spans="1:20" x14ac:dyDescent="0.25">
      <c r="A469">
        <v>37</v>
      </c>
      <c r="B469" t="str">
        <f t="shared" si="7"/>
        <v>35-44</v>
      </c>
      <c r="C469" t="s">
        <v>21</v>
      </c>
      <c r="F469" t="s">
        <v>30</v>
      </c>
      <c r="G469">
        <v>142</v>
      </c>
      <c r="H469" t="s">
        <v>18</v>
      </c>
      <c r="I469">
        <v>9</v>
      </c>
      <c r="J469">
        <v>4</v>
      </c>
      <c r="K469" t="s">
        <v>27</v>
      </c>
      <c r="L469">
        <v>1</v>
      </c>
      <c r="M469">
        <v>626</v>
      </c>
      <c r="O469">
        <v>1</v>
      </c>
      <c r="P469">
        <v>3</v>
      </c>
      <c r="Q469" t="s">
        <v>20</v>
      </c>
      <c r="R469">
        <v>2</v>
      </c>
      <c r="S469">
        <v>8834</v>
      </c>
      <c r="T469" t="s">
        <v>21</v>
      </c>
    </row>
    <row r="470" spans="1:20" x14ac:dyDescent="0.25">
      <c r="A470">
        <v>52</v>
      </c>
      <c r="B470" t="str">
        <f t="shared" si="7"/>
        <v>45-54</v>
      </c>
      <c r="C470" t="s">
        <v>21</v>
      </c>
      <c r="F470" t="s">
        <v>17</v>
      </c>
      <c r="G470">
        <v>956</v>
      </c>
      <c r="H470" t="s">
        <v>23</v>
      </c>
      <c r="I470">
        <v>6</v>
      </c>
      <c r="J470">
        <v>2</v>
      </c>
      <c r="K470" t="s">
        <v>35</v>
      </c>
      <c r="L470">
        <v>1</v>
      </c>
      <c r="M470">
        <v>630</v>
      </c>
      <c r="O470">
        <v>4</v>
      </c>
      <c r="P470">
        <v>2</v>
      </c>
      <c r="Q470" t="s">
        <v>24</v>
      </c>
      <c r="R470">
        <v>1</v>
      </c>
      <c r="S470">
        <v>5577</v>
      </c>
      <c r="T470" t="s">
        <v>16</v>
      </c>
    </row>
    <row r="471" spans="1:20" x14ac:dyDescent="0.25">
      <c r="A471">
        <v>32</v>
      </c>
      <c r="B471" t="str">
        <f t="shared" si="7"/>
        <v>25-34</v>
      </c>
      <c r="C471" t="s">
        <v>16</v>
      </c>
      <c r="F471" t="s">
        <v>30</v>
      </c>
      <c r="G471">
        <v>1474</v>
      </c>
      <c r="H471" t="s">
        <v>18</v>
      </c>
      <c r="I471">
        <v>11</v>
      </c>
      <c r="J471">
        <v>4</v>
      </c>
      <c r="K471" t="s">
        <v>25</v>
      </c>
      <c r="L471">
        <v>1</v>
      </c>
      <c r="M471">
        <v>631</v>
      </c>
      <c r="O471">
        <v>4</v>
      </c>
      <c r="P471">
        <v>2</v>
      </c>
      <c r="Q471" t="s">
        <v>20</v>
      </c>
      <c r="R471">
        <v>3</v>
      </c>
      <c r="S471">
        <v>4707</v>
      </c>
      <c r="T471" t="s">
        <v>21</v>
      </c>
    </row>
    <row r="472" spans="1:20" x14ac:dyDescent="0.25">
      <c r="A472">
        <v>24</v>
      </c>
      <c r="B472" t="str">
        <f t="shared" si="7"/>
        <v>18-24</v>
      </c>
      <c r="C472" t="s">
        <v>21</v>
      </c>
      <c r="F472" t="s">
        <v>22</v>
      </c>
      <c r="G472">
        <v>535</v>
      </c>
      <c r="H472" t="s">
        <v>18</v>
      </c>
      <c r="I472">
        <v>24</v>
      </c>
      <c r="J472">
        <v>3</v>
      </c>
      <c r="K472" t="s">
        <v>27</v>
      </c>
      <c r="L472">
        <v>1</v>
      </c>
      <c r="M472">
        <v>632</v>
      </c>
      <c r="O472">
        <v>4</v>
      </c>
      <c r="P472">
        <v>1</v>
      </c>
      <c r="Q472" t="s">
        <v>32</v>
      </c>
      <c r="R472">
        <v>4</v>
      </c>
      <c r="S472">
        <v>2400</v>
      </c>
      <c r="T472" t="s">
        <v>21</v>
      </c>
    </row>
    <row r="473" spans="1:20" x14ac:dyDescent="0.25">
      <c r="A473">
        <v>38</v>
      </c>
      <c r="B473" t="str">
        <f t="shared" si="7"/>
        <v>35-44</v>
      </c>
      <c r="C473" t="s">
        <v>21</v>
      </c>
      <c r="F473" t="s">
        <v>17</v>
      </c>
      <c r="G473">
        <v>1495</v>
      </c>
      <c r="H473" t="s">
        <v>23</v>
      </c>
      <c r="I473">
        <v>10</v>
      </c>
      <c r="J473">
        <v>3</v>
      </c>
      <c r="K473" t="s">
        <v>27</v>
      </c>
      <c r="L473">
        <v>1</v>
      </c>
      <c r="M473">
        <v>634</v>
      </c>
      <c r="O473">
        <v>3</v>
      </c>
      <c r="P473">
        <v>2</v>
      </c>
      <c r="Q473" t="s">
        <v>29</v>
      </c>
      <c r="R473">
        <v>3</v>
      </c>
      <c r="S473">
        <v>9824</v>
      </c>
      <c r="T473" t="s">
        <v>21</v>
      </c>
    </row>
    <row r="474" spans="1:20" x14ac:dyDescent="0.25">
      <c r="A474">
        <v>37</v>
      </c>
      <c r="B474" t="str">
        <f t="shared" si="7"/>
        <v>35-44</v>
      </c>
      <c r="C474" t="s">
        <v>21</v>
      </c>
      <c r="F474" t="s">
        <v>17</v>
      </c>
      <c r="G474">
        <v>446</v>
      </c>
      <c r="H474" t="s">
        <v>23</v>
      </c>
      <c r="I474">
        <v>1</v>
      </c>
      <c r="J474">
        <v>4</v>
      </c>
      <c r="K474" t="s">
        <v>19</v>
      </c>
      <c r="L474">
        <v>1</v>
      </c>
      <c r="M474">
        <v>635</v>
      </c>
      <c r="O474">
        <v>2</v>
      </c>
      <c r="P474">
        <v>2</v>
      </c>
      <c r="Q474" t="s">
        <v>28</v>
      </c>
      <c r="R474">
        <v>2</v>
      </c>
      <c r="S474">
        <v>6447</v>
      </c>
      <c r="T474" t="s">
        <v>21</v>
      </c>
    </row>
    <row r="475" spans="1:20" x14ac:dyDescent="0.25">
      <c r="A475">
        <v>49</v>
      </c>
      <c r="B475" t="str">
        <f t="shared" si="7"/>
        <v>45-54</v>
      </c>
      <c r="C475" t="s">
        <v>21</v>
      </c>
      <c r="F475" t="s">
        <v>17</v>
      </c>
      <c r="G475">
        <v>1245</v>
      </c>
      <c r="H475" t="s">
        <v>23</v>
      </c>
      <c r="I475">
        <v>18</v>
      </c>
      <c r="J475">
        <v>4</v>
      </c>
      <c r="K475" t="s">
        <v>19</v>
      </c>
      <c r="L475">
        <v>1</v>
      </c>
      <c r="M475">
        <v>638</v>
      </c>
      <c r="O475">
        <v>4</v>
      </c>
      <c r="P475">
        <v>5</v>
      </c>
      <c r="Q475" t="s">
        <v>33</v>
      </c>
      <c r="R475">
        <v>3</v>
      </c>
      <c r="S475">
        <v>19502</v>
      </c>
      <c r="T475" t="s">
        <v>16</v>
      </c>
    </row>
    <row r="476" spans="1:20" x14ac:dyDescent="0.25">
      <c r="A476">
        <v>24</v>
      </c>
      <c r="B476" t="str">
        <f t="shared" si="7"/>
        <v>18-24</v>
      </c>
      <c r="C476" t="s">
        <v>21</v>
      </c>
      <c r="F476" t="s">
        <v>17</v>
      </c>
      <c r="G476">
        <v>691</v>
      </c>
      <c r="H476" t="s">
        <v>23</v>
      </c>
      <c r="I476">
        <v>23</v>
      </c>
      <c r="J476">
        <v>3</v>
      </c>
      <c r="K476" t="s">
        <v>27</v>
      </c>
      <c r="L476">
        <v>1</v>
      </c>
      <c r="M476">
        <v>639</v>
      </c>
      <c r="O476">
        <v>2</v>
      </c>
      <c r="P476">
        <v>1</v>
      </c>
      <c r="Q476" t="s">
        <v>24</v>
      </c>
      <c r="R476">
        <v>4</v>
      </c>
      <c r="S476">
        <v>2725</v>
      </c>
      <c r="T476" t="s">
        <v>16</v>
      </c>
    </row>
    <row r="477" spans="1:20" x14ac:dyDescent="0.25">
      <c r="A477">
        <v>26</v>
      </c>
      <c r="B477" t="str">
        <f t="shared" si="7"/>
        <v>25-34</v>
      </c>
      <c r="C477" t="s">
        <v>21</v>
      </c>
      <c r="F477" t="s">
        <v>17</v>
      </c>
      <c r="G477">
        <v>703</v>
      </c>
      <c r="H477" t="s">
        <v>18</v>
      </c>
      <c r="I477">
        <v>28</v>
      </c>
      <c r="J477">
        <v>2</v>
      </c>
      <c r="K477" t="s">
        <v>34</v>
      </c>
      <c r="L477">
        <v>1</v>
      </c>
      <c r="M477">
        <v>641</v>
      </c>
      <c r="O477">
        <v>1</v>
      </c>
      <c r="P477">
        <v>2</v>
      </c>
      <c r="Q477" t="s">
        <v>20</v>
      </c>
      <c r="R477">
        <v>2</v>
      </c>
      <c r="S477">
        <v>6272</v>
      </c>
      <c r="T477" t="s">
        <v>21</v>
      </c>
    </row>
    <row r="478" spans="1:20" x14ac:dyDescent="0.25">
      <c r="A478">
        <v>24</v>
      </c>
      <c r="B478" t="str">
        <f t="shared" si="7"/>
        <v>18-24</v>
      </c>
      <c r="C478" t="s">
        <v>21</v>
      </c>
      <c r="F478" t="s">
        <v>17</v>
      </c>
      <c r="G478">
        <v>823</v>
      </c>
      <c r="H478" t="s">
        <v>23</v>
      </c>
      <c r="I478">
        <v>17</v>
      </c>
      <c r="J478">
        <v>2</v>
      </c>
      <c r="K478" t="s">
        <v>25</v>
      </c>
      <c r="L478">
        <v>1</v>
      </c>
      <c r="M478">
        <v>643</v>
      </c>
      <c r="O478">
        <v>4</v>
      </c>
      <c r="P478">
        <v>1</v>
      </c>
      <c r="Q478" t="s">
        <v>26</v>
      </c>
      <c r="R478">
        <v>2</v>
      </c>
      <c r="S478">
        <v>2127</v>
      </c>
      <c r="T478" t="s">
        <v>21</v>
      </c>
    </row>
    <row r="479" spans="1:20" x14ac:dyDescent="0.25">
      <c r="A479">
        <v>50</v>
      </c>
      <c r="B479" t="str">
        <f t="shared" si="7"/>
        <v>45-54</v>
      </c>
      <c r="C479" t="s">
        <v>21</v>
      </c>
      <c r="F479" t="s">
        <v>22</v>
      </c>
      <c r="G479">
        <v>1246</v>
      </c>
      <c r="H479" t="s">
        <v>36</v>
      </c>
      <c r="I479">
        <v>3</v>
      </c>
      <c r="J479">
        <v>3</v>
      </c>
      <c r="K479" t="s">
        <v>27</v>
      </c>
      <c r="L479">
        <v>1</v>
      </c>
      <c r="M479">
        <v>644</v>
      </c>
      <c r="O479">
        <v>1</v>
      </c>
      <c r="P479">
        <v>5</v>
      </c>
      <c r="Q479" t="s">
        <v>31</v>
      </c>
      <c r="R479">
        <v>2</v>
      </c>
      <c r="S479">
        <v>18200</v>
      </c>
      <c r="T479" t="s">
        <v>21</v>
      </c>
    </row>
    <row r="480" spans="1:20" x14ac:dyDescent="0.25">
      <c r="A480">
        <v>25</v>
      </c>
      <c r="B480" t="str">
        <f t="shared" si="7"/>
        <v>25-34</v>
      </c>
      <c r="C480" t="s">
        <v>21</v>
      </c>
      <c r="F480" t="s">
        <v>17</v>
      </c>
      <c r="G480">
        <v>622</v>
      </c>
      <c r="H480" t="s">
        <v>18</v>
      </c>
      <c r="I480">
        <v>13</v>
      </c>
      <c r="J480">
        <v>1</v>
      </c>
      <c r="K480" t="s">
        <v>27</v>
      </c>
      <c r="L480">
        <v>1</v>
      </c>
      <c r="M480">
        <v>645</v>
      </c>
      <c r="O480">
        <v>2</v>
      </c>
      <c r="P480">
        <v>1</v>
      </c>
      <c r="Q480" t="s">
        <v>32</v>
      </c>
      <c r="R480">
        <v>3</v>
      </c>
      <c r="S480">
        <v>2096</v>
      </c>
      <c r="T480" t="s">
        <v>21</v>
      </c>
    </row>
    <row r="481" spans="1:20" x14ac:dyDescent="0.25">
      <c r="A481">
        <v>24</v>
      </c>
      <c r="B481" t="str">
        <f t="shared" si="7"/>
        <v>18-24</v>
      </c>
      <c r="C481" t="s">
        <v>16</v>
      </c>
      <c r="F481" t="s">
        <v>22</v>
      </c>
      <c r="G481">
        <v>1287</v>
      </c>
      <c r="H481" t="s">
        <v>23</v>
      </c>
      <c r="I481">
        <v>7</v>
      </c>
      <c r="J481">
        <v>3</v>
      </c>
      <c r="K481" t="s">
        <v>19</v>
      </c>
      <c r="L481">
        <v>1</v>
      </c>
      <c r="M481">
        <v>647</v>
      </c>
      <c r="O481">
        <v>1</v>
      </c>
      <c r="P481">
        <v>1</v>
      </c>
      <c r="Q481" t="s">
        <v>26</v>
      </c>
      <c r="R481">
        <v>3</v>
      </c>
      <c r="S481">
        <v>2886</v>
      </c>
      <c r="T481" t="s">
        <v>16</v>
      </c>
    </row>
    <row r="482" spans="1:20" x14ac:dyDescent="0.25">
      <c r="A482">
        <v>30</v>
      </c>
      <c r="B482" t="str">
        <f t="shared" si="7"/>
        <v>25-34</v>
      </c>
      <c r="C482" t="s">
        <v>16</v>
      </c>
      <c r="F482" t="s">
        <v>22</v>
      </c>
      <c r="G482">
        <v>448</v>
      </c>
      <c r="H482" t="s">
        <v>18</v>
      </c>
      <c r="I482">
        <v>12</v>
      </c>
      <c r="J482">
        <v>4</v>
      </c>
      <c r="K482" t="s">
        <v>19</v>
      </c>
      <c r="L482">
        <v>1</v>
      </c>
      <c r="M482">
        <v>648</v>
      </c>
      <c r="O482">
        <v>2</v>
      </c>
      <c r="P482">
        <v>1</v>
      </c>
      <c r="Q482" t="s">
        <v>32</v>
      </c>
      <c r="R482">
        <v>1</v>
      </c>
      <c r="S482">
        <v>2033</v>
      </c>
      <c r="T482" t="s">
        <v>21</v>
      </c>
    </row>
    <row r="483" spans="1:20" x14ac:dyDescent="0.25">
      <c r="A483">
        <v>34</v>
      </c>
      <c r="B483" t="str">
        <f t="shared" si="7"/>
        <v>25-34</v>
      </c>
      <c r="C483" t="s">
        <v>21</v>
      </c>
      <c r="F483" t="s">
        <v>17</v>
      </c>
      <c r="G483">
        <v>254</v>
      </c>
      <c r="H483" t="s">
        <v>23</v>
      </c>
      <c r="I483">
        <v>1</v>
      </c>
      <c r="J483">
        <v>2</v>
      </c>
      <c r="K483" t="s">
        <v>19</v>
      </c>
      <c r="L483">
        <v>1</v>
      </c>
      <c r="M483">
        <v>649</v>
      </c>
      <c r="O483">
        <v>2</v>
      </c>
      <c r="P483">
        <v>1</v>
      </c>
      <c r="Q483" t="s">
        <v>24</v>
      </c>
      <c r="R483">
        <v>4</v>
      </c>
      <c r="S483">
        <v>3622</v>
      </c>
      <c r="T483" t="s">
        <v>16</v>
      </c>
    </row>
    <row r="484" spans="1:20" x14ac:dyDescent="0.25">
      <c r="A484">
        <v>31</v>
      </c>
      <c r="B484" t="str">
        <f t="shared" si="7"/>
        <v>25-34</v>
      </c>
      <c r="C484" t="s">
        <v>16</v>
      </c>
      <c r="F484" t="s">
        <v>17</v>
      </c>
      <c r="G484">
        <v>1365</v>
      </c>
      <c r="H484" t="s">
        <v>18</v>
      </c>
      <c r="I484">
        <v>13</v>
      </c>
      <c r="J484">
        <v>4</v>
      </c>
      <c r="K484" t="s">
        <v>27</v>
      </c>
      <c r="L484">
        <v>1</v>
      </c>
      <c r="M484">
        <v>650</v>
      </c>
      <c r="O484">
        <v>2</v>
      </c>
      <c r="P484">
        <v>2</v>
      </c>
      <c r="Q484" t="s">
        <v>20</v>
      </c>
      <c r="R484">
        <v>1</v>
      </c>
      <c r="S484">
        <v>4233</v>
      </c>
      <c r="T484" t="s">
        <v>21</v>
      </c>
    </row>
    <row r="485" spans="1:20" x14ac:dyDescent="0.25">
      <c r="A485">
        <v>35</v>
      </c>
      <c r="B485" t="str">
        <f t="shared" si="7"/>
        <v>35-44</v>
      </c>
      <c r="C485" t="s">
        <v>21</v>
      </c>
      <c r="F485" t="s">
        <v>17</v>
      </c>
      <c r="G485">
        <v>538</v>
      </c>
      <c r="H485" t="s">
        <v>23</v>
      </c>
      <c r="I485">
        <v>25</v>
      </c>
      <c r="J485">
        <v>2</v>
      </c>
      <c r="K485" t="s">
        <v>25</v>
      </c>
      <c r="L485">
        <v>1</v>
      </c>
      <c r="M485">
        <v>652</v>
      </c>
      <c r="O485">
        <v>1</v>
      </c>
      <c r="P485">
        <v>2</v>
      </c>
      <c r="Q485" t="s">
        <v>26</v>
      </c>
      <c r="R485">
        <v>4</v>
      </c>
      <c r="S485">
        <v>3681</v>
      </c>
      <c r="T485" t="s">
        <v>21</v>
      </c>
    </row>
    <row r="486" spans="1:20" x14ac:dyDescent="0.25">
      <c r="A486">
        <v>31</v>
      </c>
      <c r="B486" t="str">
        <f t="shared" si="7"/>
        <v>25-34</v>
      </c>
      <c r="C486" t="s">
        <v>21</v>
      </c>
      <c r="F486" t="s">
        <v>17</v>
      </c>
      <c r="G486">
        <v>525</v>
      </c>
      <c r="H486" t="s">
        <v>18</v>
      </c>
      <c r="I486">
        <v>6</v>
      </c>
      <c r="J486">
        <v>4</v>
      </c>
      <c r="K486" t="s">
        <v>27</v>
      </c>
      <c r="L486">
        <v>1</v>
      </c>
      <c r="M486">
        <v>653</v>
      </c>
      <c r="O486">
        <v>1</v>
      </c>
      <c r="P486">
        <v>2</v>
      </c>
      <c r="Q486" t="s">
        <v>20</v>
      </c>
      <c r="R486">
        <v>4</v>
      </c>
      <c r="S486">
        <v>5460</v>
      </c>
      <c r="T486" t="s">
        <v>21</v>
      </c>
    </row>
    <row r="487" spans="1:20" x14ac:dyDescent="0.25">
      <c r="A487">
        <v>27</v>
      </c>
      <c r="B487" t="str">
        <f t="shared" si="7"/>
        <v>25-34</v>
      </c>
      <c r="C487" t="s">
        <v>21</v>
      </c>
      <c r="F487" t="s">
        <v>17</v>
      </c>
      <c r="G487">
        <v>798</v>
      </c>
      <c r="H487" t="s">
        <v>23</v>
      </c>
      <c r="I487">
        <v>6</v>
      </c>
      <c r="J487">
        <v>4</v>
      </c>
      <c r="K487" t="s">
        <v>27</v>
      </c>
      <c r="L487">
        <v>1</v>
      </c>
      <c r="M487">
        <v>655</v>
      </c>
      <c r="O487">
        <v>1</v>
      </c>
      <c r="P487">
        <v>1</v>
      </c>
      <c r="Q487" t="s">
        <v>24</v>
      </c>
      <c r="R487">
        <v>3</v>
      </c>
      <c r="S487">
        <v>2187</v>
      </c>
      <c r="T487" t="s">
        <v>21</v>
      </c>
    </row>
    <row r="488" spans="1:20" x14ac:dyDescent="0.25">
      <c r="A488">
        <v>37</v>
      </c>
      <c r="B488" t="str">
        <f t="shared" si="7"/>
        <v>35-44</v>
      </c>
      <c r="C488" t="s">
        <v>21</v>
      </c>
      <c r="F488" t="s">
        <v>17</v>
      </c>
      <c r="G488">
        <v>558</v>
      </c>
      <c r="H488" t="s">
        <v>18</v>
      </c>
      <c r="I488">
        <v>2</v>
      </c>
      <c r="J488">
        <v>3</v>
      </c>
      <c r="K488" t="s">
        <v>34</v>
      </c>
      <c r="L488">
        <v>1</v>
      </c>
      <c r="M488">
        <v>656</v>
      </c>
      <c r="O488">
        <v>4</v>
      </c>
      <c r="P488">
        <v>2</v>
      </c>
      <c r="Q488" t="s">
        <v>20</v>
      </c>
      <c r="R488">
        <v>3</v>
      </c>
      <c r="S488">
        <v>9602</v>
      </c>
      <c r="T488" t="s">
        <v>16</v>
      </c>
    </row>
    <row r="489" spans="1:20" x14ac:dyDescent="0.25">
      <c r="A489">
        <v>20</v>
      </c>
      <c r="B489" t="str">
        <f t="shared" si="7"/>
        <v>18-24</v>
      </c>
      <c r="C489" t="s">
        <v>21</v>
      </c>
      <c r="F489" t="s">
        <v>17</v>
      </c>
      <c r="G489">
        <v>959</v>
      </c>
      <c r="H489" t="s">
        <v>23</v>
      </c>
      <c r="I489">
        <v>1</v>
      </c>
      <c r="J489">
        <v>3</v>
      </c>
      <c r="K489" t="s">
        <v>19</v>
      </c>
      <c r="L489">
        <v>1</v>
      </c>
      <c r="M489">
        <v>657</v>
      </c>
      <c r="O489">
        <v>4</v>
      </c>
      <c r="P489">
        <v>1</v>
      </c>
      <c r="Q489" t="s">
        <v>24</v>
      </c>
      <c r="R489">
        <v>2</v>
      </c>
      <c r="S489">
        <v>2836</v>
      </c>
      <c r="T489" t="s">
        <v>21</v>
      </c>
    </row>
    <row r="490" spans="1:20" x14ac:dyDescent="0.25">
      <c r="A490">
        <v>42</v>
      </c>
      <c r="B490" t="str">
        <f t="shared" si="7"/>
        <v>35-44</v>
      </c>
      <c r="C490" t="s">
        <v>21</v>
      </c>
      <c r="F490" t="s">
        <v>17</v>
      </c>
      <c r="G490">
        <v>622</v>
      </c>
      <c r="H490" t="s">
        <v>23</v>
      </c>
      <c r="I490">
        <v>2</v>
      </c>
      <c r="J490">
        <v>4</v>
      </c>
      <c r="K490" t="s">
        <v>19</v>
      </c>
      <c r="L490">
        <v>1</v>
      </c>
      <c r="M490">
        <v>659</v>
      </c>
      <c r="O490">
        <v>3</v>
      </c>
      <c r="P490">
        <v>2</v>
      </c>
      <c r="Q490" t="s">
        <v>29</v>
      </c>
      <c r="R490">
        <v>4</v>
      </c>
      <c r="S490">
        <v>4089</v>
      </c>
      <c r="T490" t="s">
        <v>21</v>
      </c>
    </row>
    <row r="491" spans="1:20" x14ac:dyDescent="0.25">
      <c r="A491">
        <v>43</v>
      </c>
      <c r="B491" t="str">
        <f t="shared" si="7"/>
        <v>35-44</v>
      </c>
      <c r="C491" t="s">
        <v>21</v>
      </c>
      <c r="F491" t="s">
        <v>17</v>
      </c>
      <c r="G491">
        <v>782</v>
      </c>
      <c r="H491" t="s">
        <v>23</v>
      </c>
      <c r="I491">
        <v>6</v>
      </c>
      <c r="J491">
        <v>4</v>
      </c>
      <c r="K491" t="s">
        <v>25</v>
      </c>
      <c r="L491">
        <v>1</v>
      </c>
      <c r="M491">
        <v>661</v>
      </c>
      <c r="O491">
        <v>2</v>
      </c>
      <c r="P491">
        <v>4</v>
      </c>
      <c r="Q491" t="s">
        <v>33</v>
      </c>
      <c r="R491">
        <v>4</v>
      </c>
      <c r="S491">
        <v>16627</v>
      </c>
      <c r="T491" t="s">
        <v>16</v>
      </c>
    </row>
    <row r="492" spans="1:20" x14ac:dyDescent="0.25">
      <c r="A492">
        <v>38</v>
      </c>
      <c r="B492" t="str">
        <f t="shared" si="7"/>
        <v>35-44</v>
      </c>
      <c r="C492" t="s">
        <v>21</v>
      </c>
      <c r="F492" t="s">
        <v>17</v>
      </c>
      <c r="G492">
        <v>362</v>
      </c>
      <c r="H492" t="s">
        <v>23</v>
      </c>
      <c r="I492">
        <v>1</v>
      </c>
      <c r="J492">
        <v>1</v>
      </c>
      <c r="K492" t="s">
        <v>19</v>
      </c>
      <c r="L492">
        <v>1</v>
      </c>
      <c r="M492">
        <v>662</v>
      </c>
      <c r="O492">
        <v>3</v>
      </c>
      <c r="P492">
        <v>1</v>
      </c>
      <c r="Q492" t="s">
        <v>24</v>
      </c>
      <c r="R492">
        <v>1</v>
      </c>
      <c r="S492">
        <v>2619</v>
      </c>
      <c r="T492" t="s">
        <v>21</v>
      </c>
    </row>
    <row r="493" spans="1:20" x14ac:dyDescent="0.25">
      <c r="A493">
        <v>43</v>
      </c>
      <c r="B493" t="str">
        <f t="shared" si="7"/>
        <v>35-44</v>
      </c>
      <c r="C493" t="s">
        <v>21</v>
      </c>
      <c r="F493" t="s">
        <v>22</v>
      </c>
      <c r="G493">
        <v>1001</v>
      </c>
      <c r="H493" t="s">
        <v>23</v>
      </c>
      <c r="I493">
        <v>9</v>
      </c>
      <c r="J493">
        <v>5</v>
      </c>
      <c r="K493" t="s">
        <v>27</v>
      </c>
      <c r="L493">
        <v>1</v>
      </c>
      <c r="M493">
        <v>663</v>
      </c>
      <c r="O493">
        <v>4</v>
      </c>
      <c r="P493">
        <v>2</v>
      </c>
      <c r="Q493" t="s">
        <v>26</v>
      </c>
      <c r="R493">
        <v>3</v>
      </c>
      <c r="S493">
        <v>5679</v>
      </c>
      <c r="T493" t="s">
        <v>16</v>
      </c>
    </row>
    <row r="494" spans="1:20" x14ac:dyDescent="0.25">
      <c r="A494">
        <v>48</v>
      </c>
      <c r="B494" t="str">
        <f t="shared" si="7"/>
        <v>45-54</v>
      </c>
      <c r="C494" t="s">
        <v>21</v>
      </c>
      <c r="F494" t="s">
        <v>17</v>
      </c>
      <c r="G494">
        <v>1236</v>
      </c>
      <c r="H494" t="s">
        <v>23</v>
      </c>
      <c r="I494">
        <v>1</v>
      </c>
      <c r="J494">
        <v>4</v>
      </c>
      <c r="K494" t="s">
        <v>19</v>
      </c>
      <c r="L494">
        <v>1</v>
      </c>
      <c r="M494">
        <v>664</v>
      </c>
      <c r="O494">
        <v>4</v>
      </c>
      <c r="P494">
        <v>4</v>
      </c>
      <c r="Q494" t="s">
        <v>31</v>
      </c>
      <c r="R494">
        <v>1</v>
      </c>
      <c r="S494">
        <v>15402</v>
      </c>
      <c r="T494" t="s">
        <v>21</v>
      </c>
    </row>
    <row r="495" spans="1:20" x14ac:dyDescent="0.25">
      <c r="A495">
        <v>44</v>
      </c>
      <c r="B495" t="str">
        <f t="shared" si="7"/>
        <v>35-44</v>
      </c>
      <c r="C495" t="s">
        <v>21</v>
      </c>
      <c r="F495" t="s">
        <v>17</v>
      </c>
      <c r="G495">
        <v>1112</v>
      </c>
      <c r="H495" t="s">
        <v>36</v>
      </c>
      <c r="I495">
        <v>1</v>
      </c>
      <c r="J495">
        <v>4</v>
      </c>
      <c r="K495" t="s">
        <v>19</v>
      </c>
      <c r="L495">
        <v>1</v>
      </c>
      <c r="M495">
        <v>665</v>
      </c>
      <c r="O495">
        <v>1</v>
      </c>
      <c r="P495">
        <v>2</v>
      </c>
      <c r="Q495" t="s">
        <v>36</v>
      </c>
      <c r="R495">
        <v>3</v>
      </c>
      <c r="S495">
        <v>5985</v>
      </c>
      <c r="T495" t="s">
        <v>21</v>
      </c>
    </row>
    <row r="496" spans="1:20" x14ac:dyDescent="0.25">
      <c r="A496">
        <v>34</v>
      </c>
      <c r="B496" t="str">
        <f t="shared" si="7"/>
        <v>25-34</v>
      </c>
      <c r="C496" t="s">
        <v>21</v>
      </c>
      <c r="F496" t="s">
        <v>17</v>
      </c>
      <c r="G496">
        <v>204</v>
      </c>
      <c r="H496" t="s">
        <v>18</v>
      </c>
      <c r="I496">
        <v>14</v>
      </c>
      <c r="J496">
        <v>3</v>
      </c>
      <c r="K496" t="s">
        <v>35</v>
      </c>
      <c r="L496">
        <v>1</v>
      </c>
      <c r="M496">
        <v>666</v>
      </c>
      <c r="O496">
        <v>3</v>
      </c>
      <c r="P496">
        <v>1</v>
      </c>
      <c r="Q496" t="s">
        <v>32</v>
      </c>
      <c r="R496">
        <v>3</v>
      </c>
      <c r="S496">
        <v>2579</v>
      </c>
      <c r="T496" t="s">
        <v>16</v>
      </c>
    </row>
    <row r="497" spans="1:20" x14ac:dyDescent="0.25">
      <c r="A497">
        <v>27</v>
      </c>
      <c r="B497" t="str">
        <f t="shared" si="7"/>
        <v>25-34</v>
      </c>
      <c r="C497" t="s">
        <v>16</v>
      </c>
      <c r="F497" t="s">
        <v>17</v>
      </c>
      <c r="G497">
        <v>1420</v>
      </c>
      <c r="H497" t="s">
        <v>18</v>
      </c>
      <c r="I497">
        <v>2</v>
      </c>
      <c r="J497">
        <v>1</v>
      </c>
      <c r="K497" t="s">
        <v>34</v>
      </c>
      <c r="L497">
        <v>1</v>
      </c>
      <c r="M497">
        <v>667</v>
      </c>
      <c r="O497">
        <v>3</v>
      </c>
      <c r="P497">
        <v>1</v>
      </c>
      <c r="Q497" t="s">
        <v>32</v>
      </c>
      <c r="R497">
        <v>1</v>
      </c>
      <c r="S497">
        <v>3041</v>
      </c>
      <c r="T497" t="s">
        <v>21</v>
      </c>
    </row>
    <row r="498" spans="1:20" x14ac:dyDescent="0.25">
      <c r="A498">
        <v>21</v>
      </c>
      <c r="B498" t="str">
        <f t="shared" si="7"/>
        <v>18-24</v>
      </c>
      <c r="C498" t="s">
        <v>21</v>
      </c>
      <c r="F498" t="s">
        <v>17</v>
      </c>
      <c r="G498">
        <v>1343</v>
      </c>
      <c r="H498" t="s">
        <v>18</v>
      </c>
      <c r="I498">
        <v>22</v>
      </c>
      <c r="J498">
        <v>1</v>
      </c>
      <c r="K498" t="s">
        <v>35</v>
      </c>
      <c r="L498">
        <v>1</v>
      </c>
      <c r="M498">
        <v>669</v>
      </c>
      <c r="O498">
        <v>3</v>
      </c>
      <c r="P498">
        <v>1</v>
      </c>
      <c r="Q498" t="s">
        <v>32</v>
      </c>
      <c r="R498">
        <v>3</v>
      </c>
      <c r="S498">
        <v>3447</v>
      </c>
      <c r="T498" t="s">
        <v>21</v>
      </c>
    </row>
    <row r="499" spans="1:20" x14ac:dyDescent="0.25">
      <c r="A499">
        <v>44</v>
      </c>
      <c r="B499" t="str">
        <f t="shared" si="7"/>
        <v>35-44</v>
      </c>
      <c r="C499" t="s">
        <v>21</v>
      </c>
      <c r="F499" t="s">
        <v>17</v>
      </c>
      <c r="G499">
        <v>1315</v>
      </c>
      <c r="H499" t="s">
        <v>23</v>
      </c>
      <c r="I499">
        <v>3</v>
      </c>
      <c r="J499">
        <v>4</v>
      </c>
      <c r="K499" t="s">
        <v>25</v>
      </c>
      <c r="L499">
        <v>1</v>
      </c>
      <c r="M499">
        <v>671</v>
      </c>
      <c r="O499">
        <v>4</v>
      </c>
      <c r="P499">
        <v>5</v>
      </c>
      <c r="Q499" t="s">
        <v>31</v>
      </c>
      <c r="R499">
        <v>4</v>
      </c>
      <c r="S499">
        <v>19513</v>
      </c>
      <c r="T499" t="s">
        <v>16</v>
      </c>
    </row>
    <row r="500" spans="1:20" x14ac:dyDescent="0.25">
      <c r="A500">
        <v>22</v>
      </c>
      <c r="B500" t="str">
        <f t="shared" si="7"/>
        <v>18-24</v>
      </c>
      <c r="C500" t="s">
        <v>21</v>
      </c>
      <c r="F500" t="s">
        <v>17</v>
      </c>
      <c r="G500">
        <v>604</v>
      </c>
      <c r="H500" t="s">
        <v>23</v>
      </c>
      <c r="I500">
        <v>6</v>
      </c>
      <c r="J500">
        <v>1</v>
      </c>
      <c r="K500" t="s">
        <v>27</v>
      </c>
      <c r="L500">
        <v>1</v>
      </c>
      <c r="M500">
        <v>675</v>
      </c>
      <c r="O500">
        <v>1</v>
      </c>
      <c r="P500">
        <v>1</v>
      </c>
      <c r="Q500" t="s">
        <v>24</v>
      </c>
      <c r="R500">
        <v>3</v>
      </c>
      <c r="S500">
        <v>2773</v>
      </c>
      <c r="T500" t="s">
        <v>21</v>
      </c>
    </row>
    <row r="501" spans="1:20" x14ac:dyDescent="0.25">
      <c r="A501">
        <v>33</v>
      </c>
      <c r="B501" t="str">
        <f t="shared" si="7"/>
        <v>25-34</v>
      </c>
      <c r="C501" t="s">
        <v>21</v>
      </c>
      <c r="F501" t="s">
        <v>17</v>
      </c>
      <c r="G501">
        <v>1216</v>
      </c>
      <c r="H501" t="s">
        <v>18</v>
      </c>
      <c r="I501">
        <v>8</v>
      </c>
      <c r="J501">
        <v>4</v>
      </c>
      <c r="K501" t="s">
        <v>34</v>
      </c>
      <c r="L501">
        <v>1</v>
      </c>
      <c r="M501">
        <v>677</v>
      </c>
      <c r="O501">
        <v>3</v>
      </c>
      <c r="P501">
        <v>2</v>
      </c>
      <c r="Q501" t="s">
        <v>20</v>
      </c>
      <c r="R501">
        <v>3</v>
      </c>
      <c r="S501">
        <v>7104</v>
      </c>
      <c r="T501" t="s">
        <v>21</v>
      </c>
    </row>
    <row r="502" spans="1:20" x14ac:dyDescent="0.25">
      <c r="A502">
        <v>32</v>
      </c>
      <c r="B502" t="str">
        <f t="shared" si="7"/>
        <v>25-34</v>
      </c>
      <c r="C502" t="s">
        <v>21</v>
      </c>
      <c r="F502" t="s">
        <v>17</v>
      </c>
      <c r="G502">
        <v>646</v>
      </c>
      <c r="H502" t="s">
        <v>23</v>
      </c>
      <c r="I502">
        <v>9</v>
      </c>
      <c r="J502">
        <v>4</v>
      </c>
      <c r="K502" t="s">
        <v>19</v>
      </c>
      <c r="L502">
        <v>1</v>
      </c>
      <c r="M502">
        <v>679</v>
      </c>
      <c r="O502">
        <v>1</v>
      </c>
      <c r="P502">
        <v>2</v>
      </c>
      <c r="Q502" t="s">
        <v>24</v>
      </c>
      <c r="R502">
        <v>4</v>
      </c>
      <c r="S502">
        <v>6322</v>
      </c>
      <c r="T502" t="s">
        <v>16</v>
      </c>
    </row>
    <row r="503" spans="1:20" x14ac:dyDescent="0.25">
      <c r="A503">
        <v>30</v>
      </c>
      <c r="B503" t="str">
        <f t="shared" si="7"/>
        <v>25-34</v>
      </c>
      <c r="C503" t="s">
        <v>21</v>
      </c>
      <c r="F503" t="s">
        <v>22</v>
      </c>
      <c r="G503">
        <v>160</v>
      </c>
      <c r="H503" t="s">
        <v>23</v>
      </c>
      <c r="I503">
        <v>3</v>
      </c>
      <c r="J503">
        <v>3</v>
      </c>
      <c r="K503" t="s">
        <v>27</v>
      </c>
      <c r="L503">
        <v>1</v>
      </c>
      <c r="M503">
        <v>680</v>
      </c>
      <c r="O503">
        <v>3</v>
      </c>
      <c r="P503">
        <v>1</v>
      </c>
      <c r="Q503" t="s">
        <v>24</v>
      </c>
      <c r="R503">
        <v>3</v>
      </c>
      <c r="S503">
        <v>2083</v>
      </c>
      <c r="T503" t="s">
        <v>21</v>
      </c>
    </row>
    <row r="504" spans="1:20" x14ac:dyDescent="0.25">
      <c r="A504">
        <v>53</v>
      </c>
      <c r="B504" t="str">
        <f t="shared" si="7"/>
        <v>45-54</v>
      </c>
      <c r="C504" t="s">
        <v>21</v>
      </c>
      <c r="F504" t="s">
        <v>17</v>
      </c>
      <c r="G504">
        <v>238</v>
      </c>
      <c r="H504" t="s">
        <v>18</v>
      </c>
      <c r="I504">
        <v>1</v>
      </c>
      <c r="J504">
        <v>1</v>
      </c>
      <c r="K504" t="s">
        <v>27</v>
      </c>
      <c r="L504">
        <v>1</v>
      </c>
      <c r="M504">
        <v>682</v>
      </c>
      <c r="O504">
        <v>4</v>
      </c>
      <c r="P504">
        <v>2</v>
      </c>
      <c r="Q504" t="s">
        <v>20</v>
      </c>
      <c r="R504">
        <v>1</v>
      </c>
      <c r="S504">
        <v>8381</v>
      </c>
      <c r="T504" t="s">
        <v>21</v>
      </c>
    </row>
    <row r="505" spans="1:20" x14ac:dyDescent="0.25">
      <c r="A505">
        <v>34</v>
      </c>
      <c r="B505" t="str">
        <f t="shared" si="7"/>
        <v>25-34</v>
      </c>
      <c r="C505" t="s">
        <v>21</v>
      </c>
      <c r="F505" t="s">
        <v>17</v>
      </c>
      <c r="G505">
        <v>1397</v>
      </c>
      <c r="H505" t="s">
        <v>23</v>
      </c>
      <c r="I505">
        <v>1</v>
      </c>
      <c r="J505">
        <v>5</v>
      </c>
      <c r="K505" t="s">
        <v>19</v>
      </c>
      <c r="L505">
        <v>1</v>
      </c>
      <c r="M505">
        <v>683</v>
      </c>
      <c r="O505">
        <v>2</v>
      </c>
      <c r="P505">
        <v>1</v>
      </c>
      <c r="Q505" t="s">
        <v>24</v>
      </c>
      <c r="R505">
        <v>4</v>
      </c>
      <c r="S505">
        <v>2691</v>
      </c>
      <c r="T505" t="s">
        <v>21</v>
      </c>
    </row>
    <row r="506" spans="1:20" x14ac:dyDescent="0.25">
      <c r="A506">
        <v>45</v>
      </c>
      <c r="B506" t="str">
        <f t="shared" si="7"/>
        <v>45-54</v>
      </c>
      <c r="C506" t="s">
        <v>16</v>
      </c>
      <c r="F506" t="s">
        <v>22</v>
      </c>
      <c r="G506">
        <v>306</v>
      </c>
      <c r="H506" t="s">
        <v>18</v>
      </c>
      <c r="I506">
        <v>26</v>
      </c>
      <c r="J506">
        <v>4</v>
      </c>
      <c r="K506" t="s">
        <v>19</v>
      </c>
      <c r="L506">
        <v>1</v>
      </c>
      <c r="M506">
        <v>684</v>
      </c>
      <c r="O506">
        <v>1</v>
      </c>
      <c r="P506">
        <v>2</v>
      </c>
      <c r="Q506" t="s">
        <v>20</v>
      </c>
      <c r="R506">
        <v>1</v>
      </c>
      <c r="S506">
        <v>4286</v>
      </c>
      <c r="T506" t="s">
        <v>21</v>
      </c>
    </row>
    <row r="507" spans="1:20" x14ac:dyDescent="0.25">
      <c r="A507">
        <v>26</v>
      </c>
      <c r="B507" t="str">
        <f t="shared" si="7"/>
        <v>25-34</v>
      </c>
      <c r="C507" t="s">
        <v>21</v>
      </c>
      <c r="F507" t="s">
        <v>17</v>
      </c>
      <c r="G507">
        <v>991</v>
      </c>
      <c r="H507" t="s">
        <v>23</v>
      </c>
      <c r="I507">
        <v>6</v>
      </c>
      <c r="J507">
        <v>3</v>
      </c>
      <c r="K507" t="s">
        <v>19</v>
      </c>
      <c r="L507">
        <v>1</v>
      </c>
      <c r="M507">
        <v>686</v>
      </c>
      <c r="O507">
        <v>3</v>
      </c>
      <c r="P507">
        <v>1</v>
      </c>
      <c r="Q507" t="s">
        <v>26</v>
      </c>
      <c r="R507">
        <v>4</v>
      </c>
      <c r="S507">
        <v>2659</v>
      </c>
      <c r="T507" t="s">
        <v>16</v>
      </c>
    </row>
    <row r="508" spans="1:20" x14ac:dyDescent="0.25">
      <c r="A508">
        <v>37</v>
      </c>
      <c r="B508" t="str">
        <f t="shared" si="7"/>
        <v>35-44</v>
      </c>
      <c r="C508" t="s">
        <v>21</v>
      </c>
      <c r="F508" t="s">
        <v>17</v>
      </c>
      <c r="G508">
        <v>482</v>
      </c>
      <c r="H508" t="s">
        <v>23</v>
      </c>
      <c r="I508">
        <v>3</v>
      </c>
      <c r="J508">
        <v>3</v>
      </c>
      <c r="K508" t="s">
        <v>25</v>
      </c>
      <c r="L508">
        <v>1</v>
      </c>
      <c r="M508">
        <v>689</v>
      </c>
      <c r="O508">
        <v>3</v>
      </c>
      <c r="P508">
        <v>3</v>
      </c>
      <c r="Q508" t="s">
        <v>28</v>
      </c>
      <c r="R508">
        <v>3</v>
      </c>
      <c r="S508">
        <v>9434</v>
      </c>
      <c r="T508" t="s">
        <v>21</v>
      </c>
    </row>
    <row r="509" spans="1:20" x14ac:dyDescent="0.25">
      <c r="A509">
        <v>29</v>
      </c>
      <c r="B509" t="str">
        <f t="shared" si="7"/>
        <v>25-34</v>
      </c>
      <c r="C509" t="s">
        <v>21</v>
      </c>
      <c r="F509" t="s">
        <v>17</v>
      </c>
      <c r="G509">
        <v>1176</v>
      </c>
      <c r="H509" t="s">
        <v>18</v>
      </c>
      <c r="I509">
        <v>3</v>
      </c>
      <c r="J509">
        <v>2</v>
      </c>
      <c r="K509" t="s">
        <v>27</v>
      </c>
      <c r="L509">
        <v>1</v>
      </c>
      <c r="M509">
        <v>690</v>
      </c>
      <c r="O509">
        <v>2</v>
      </c>
      <c r="P509">
        <v>2</v>
      </c>
      <c r="Q509" t="s">
        <v>20</v>
      </c>
      <c r="R509">
        <v>3</v>
      </c>
      <c r="S509">
        <v>5561</v>
      </c>
      <c r="T509" t="s">
        <v>21</v>
      </c>
    </row>
    <row r="510" spans="1:20" x14ac:dyDescent="0.25">
      <c r="A510">
        <v>35</v>
      </c>
      <c r="B510" t="str">
        <f t="shared" si="7"/>
        <v>35-44</v>
      </c>
      <c r="C510" t="s">
        <v>21</v>
      </c>
      <c r="F510" t="s">
        <v>17</v>
      </c>
      <c r="G510">
        <v>1017</v>
      </c>
      <c r="H510" t="s">
        <v>23</v>
      </c>
      <c r="I510">
        <v>6</v>
      </c>
      <c r="J510">
        <v>4</v>
      </c>
      <c r="K510" t="s">
        <v>19</v>
      </c>
      <c r="L510">
        <v>1</v>
      </c>
      <c r="M510">
        <v>691</v>
      </c>
      <c r="O510">
        <v>2</v>
      </c>
      <c r="P510">
        <v>2</v>
      </c>
      <c r="Q510" t="s">
        <v>24</v>
      </c>
      <c r="R510">
        <v>4</v>
      </c>
      <c r="S510">
        <v>6646</v>
      </c>
      <c r="T510" t="s">
        <v>21</v>
      </c>
    </row>
    <row r="511" spans="1:20" x14ac:dyDescent="0.25">
      <c r="A511">
        <v>33</v>
      </c>
      <c r="B511" t="str">
        <f t="shared" si="7"/>
        <v>25-34</v>
      </c>
      <c r="C511" t="s">
        <v>21</v>
      </c>
      <c r="F511" t="s">
        <v>22</v>
      </c>
      <c r="G511">
        <v>1296</v>
      </c>
      <c r="H511" t="s">
        <v>23</v>
      </c>
      <c r="I511">
        <v>6</v>
      </c>
      <c r="J511">
        <v>3</v>
      </c>
      <c r="K511" t="s">
        <v>19</v>
      </c>
      <c r="L511">
        <v>1</v>
      </c>
      <c r="M511">
        <v>692</v>
      </c>
      <c r="O511">
        <v>3</v>
      </c>
      <c r="P511">
        <v>2</v>
      </c>
      <c r="Q511" t="s">
        <v>29</v>
      </c>
      <c r="R511">
        <v>4</v>
      </c>
      <c r="S511">
        <v>7725</v>
      </c>
      <c r="T511" t="s">
        <v>21</v>
      </c>
    </row>
    <row r="512" spans="1:20" x14ac:dyDescent="0.25">
      <c r="A512">
        <v>54</v>
      </c>
      <c r="B512" t="str">
        <f t="shared" si="7"/>
        <v>45-54</v>
      </c>
      <c r="C512" t="s">
        <v>21</v>
      </c>
      <c r="F512" t="s">
        <v>17</v>
      </c>
      <c r="G512">
        <v>397</v>
      </c>
      <c r="H512" t="s">
        <v>36</v>
      </c>
      <c r="I512">
        <v>19</v>
      </c>
      <c r="J512">
        <v>4</v>
      </c>
      <c r="K512" t="s">
        <v>27</v>
      </c>
      <c r="L512">
        <v>1</v>
      </c>
      <c r="M512">
        <v>698</v>
      </c>
      <c r="O512">
        <v>3</v>
      </c>
      <c r="P512">
        <v>3</v>
      </c>
      <c r="Q512" t="s">
        <v>36</v>
      </c>
      <c r="R512">
        <v>2</v>
      </c>
      <c r="S512">
        <v>10725</v>
      </c>
      <c r="T512" t="s">
        <v>21</v>
      </c>
    </row>
    <row r="513" spans="1:20" x14ac:dyDescent="0.25">
      <c r="A513">
        <v>36</v>
      </c>
      <c r="B513" t="str">
        <f t="shared" si="7"/>
        <v>35-44</v>
      </c>
      <c r="C513" t="s">
        <v>21</v>
      </c>
      <c r="F513" t="s">
        <v>17</v>
      </c>
      <c r="G513">
        <v>913</v>
      </c>
      <c r="H513" t="s">
        <v>23</v>
      </c>
      <c r="I513">
        <v>9</v>
      </c>
      <c r="J513">
        <v>2</v>
      </c>
      <c r="K513" t="s">
        <v>27</v>
      </c>
      <c r="L513">
        <v>1</v>
      </c>
      <c r="M513">
        <v>699</v>
      </c>
      <c r="O513">
        <v>2</v>
      </c>
      <c r="P513">
        <v>2</v>
      </c>
      <c r="Q513" t="s">
        <v>28</v>
      </c>
      <c r="R513">
        <v>2</v>
      </c>
      <c r="S513">
        <v>8847</v>
      </c>
      <c r="T513" t="s">
        <v>16</v>
      </c>
    </row>
    <row r="514" spans="1:20" x14ac:dyDescent="0.25">
      <c r="A514">
        <v>27</v>
      </c>
      <c r="B514" t="str">
        <f t="shared" si="7"/>
        <v>25-34</v>
      </c>
      <c r="C514" t="s">
        <v>21</v>
      </c>
      <c r="F514" t="s">
        <v>17</v>
      </c>
      <c r="G514">
        <v>1115</v>
      </c>
      <c r="H514" t="s">
        <v>23</v>
      </c>
      <c r="I514">
        <v>3</v>
      </c>
      <c r="J514">
        <v>4</v>
      </c>
      <c r="K514" t="s">
        <v>27</v>
      </c>
      <c r="L514">
        <v>1</v>
      </c>
      <c r="M514">
        <v>700</v>
      </c>
      <c r="O514">
        <v>1</v>
      </c>
      <c r="P514">
        <v>1</v>
      </c>
      <c r="Q514" t="s">
        <v>24</v>
      </c>
      <c r="R514">
        <v>4</v>
      </c>
      <c r="S514">
        <v>2045</v>
      </c>
      <c r="T514" t="s">
        <v>21</v>
      </c>
    </row>
    <row r="515" spans="1:20" x14ac:dyDescent="0.25">
      <c r="A515">
        <v>20</v>
      </c>
      <c r="B515" t="str">
        <f t="shared" ref="B515:B578" si="8">IF(A515&lt;=24,"18-24",IF(A515&lt;=34,"25-34",IF(A515&lt;=44,"35-44",IF(A515&lt;=54,"45-54","55+"))))</f>
        <v>18-24</v>
      </c>
      <c r="C515" t="s">
        <v>16</v>
      </c>
      <c r="F515" t="s">
        <v>17</v>
      </c>
      <c r="G515">
        <v>1362</v>
      </c>
      <c r="H515" t="s">
        <v>23</v>
      </c>
      <c r="I515">
        <v>10</v>
      </c>
      <c r="J515">
        <v>1</v>
      </c>
      <c r="K515" t="s">
        <v>27</v>
      </c>
      <c r="L515">
        <v>1</v>
      </c>
      <c r="M515">
        <v>701</v>
      </c>
      <c r="O515">
        <v>4</v>
      </c>
      <c r="P515">
        <v>1</v>
      </c>
      <c r="Q515" t="s">
        <v>24</v>
      </c>
      <c r="R515">
        <v>3</v>
      </c>
      <c r="S515">
        <v>1009</v>
      </c>
      <c r="T515" t="s">
        <v>16</v>
      </c>
    </row>
    <row r="516" spans="1:20" x14ac:dyDescent="0.25">
      <c r="A516">
        <v>33</v>
      </c>
      <c r="B516" t="str">
        <f t="shared" si="8"/>
        <v>25-34</v>
      </c>
      <c r="C516" t="s">
        <v>16</v>
      </c>
      <c r="F516" t="s">
        <v>22</v>
      </c>
      <c r="G516">
        <v>1076</v>
      </c>
      <c r="H516" t="s">
        <v>23</v>
      </c>
      <c r="I516">
        <v>3</v>
      </c>
      <c r="J516">
        <v>3</v>
      </c>
      <c r="K516" t="s">
        <v>19</v>
      </c>
      <c r="L516">
        <v>1</v>
      </c>
      <c r="M516">
        <v>702</v>
      </c>
      <c r="O516">
        <v>1</v>
      </c>
      <c r="P516">
        <v>1</v>
      </c>
      <c r="Q516" t="s">
        <v>24</v>
      </c>
      <c r="R516">
        <v>1</v>
      </c>
      <c r="S516">
        <v>3348</v>
      </c>
      <c r="T516" t="s">
        <v>16</v>
      </c>
    </row>
    <row r="517" spans="1:20" x14ac:dyDescent="0.25">
      <c r="A517">
        <v>35</v>
      </c>
      <c r="B517" t="str">
        <f t="shared" si="8"/>
        <v>35-44</v>
      </c>
      <c r="C517" t="s">
        <v>21</v>
      </c>
      <c r="F517" t="s">
        <v>30</v>
      </c>
      <c r="G517">
        <v>727</v>
      </c>
      <c r="H517" t="s">
        <v>23</v>
      </c>
      <c r="I517">
        <v>3</v>
      </c>
      <c r="J517">
        <v>3</v>
      </c>
      <c r="K517" t="s">
        <v>19</v>
      </c>
      <c r="L517">
        <v>1</v>
      </c>
      <c r="M517">
        <v>704</v>
      </c>
      <c r="O517">
        <v>3</v>
      </c>
      <c r="P517">
        <v>1</v>
      </c>
      <c r="Q517" t="s">
        <v>26</v>
      </c>
      <c r="R517">
        <v>3</v>
      </c>
      <c r="S517">
        <v>1281</v>
      </c>
      <c r="T517" t="s">
        <v>21</v>
      </c>
    </row>
    <row r="518" spans="1:20" x14ac:dyDescent="0.25">
      <c r="A518">
        <v>23</v>
      </c>
      <c r="B518" t="str">
        <f t="shared" si="8"/>
        <v>18-24</v>
      </c>
      <c r="C518" t="s">
        <v>21</v>
      </c>
      <c r="F518" t="s">
        <v>17</v>
      </c>
      <c r="G518">
        <v>885</v>
      </c>
      <c r="H518" t="s">
        <v>23</v>
      </c>
      <c r="I518">
        <v>4</v>
      </c>
      <c r="J518">
        <v>3</v>
      </c>
      <c r="K518" t="s">
        <v>27</v>
      </c>
      <c r="L518">
        <v>1</v>
      </c>
      <c r="M518">
        <v>705</v>
      </c>
      <c r="O518">
        <v>1</v>
      </c>
      <c r="P518">
        <v>1</v>
      </c>
      <c r="Q518" t="s">
        <v>24</v>
      </c>
      <c r="R518">
        <v>1</v>
      </c>
      <c r="S518">
        <v>2819</v>
      </c>
      <c r="T518" t="s">
        <v>21</v>
      </c>
    </row>
    <row r="519" spans="1:20" x14ac:dyDescent="0.25">
      <c r="A519">
        <v>25</v>
      </c>
      <c r="B519" t="str">
        <f t="shared" si="8"/>
        <v>25-34</v>
      </c>
      <c r="C519" t="s">
        <v>21</v>
      </c>
      <c r="F519" t="s">
        <v>17</v>
      </c>
      <c r="G519">
        <v>810</v>
      </c>
      <c r="H519" t="s">
        <v>18</v>
      </c>
      <c r="I519">
        <v>8</v>
      </c>
      <c r="J519">
        <v>3</v>
      </c>
      <c r="K519" t="s">
        <v>19</v>
      </c>
      <c r="L519">
        <v>1</v>
      </c>
      <c r="M519">
        <v>707</v>
      </c>
      <c r="O519">
        <v>4</v>
      </c>
      <c r="P519">
        <v>2</v>
      </c>
      <c r="Q519" t="s">
        <v>20</v>
      </c>
      <c r="R519">
        <v>2</v>
      </c>
      <c r="S519">
        <v>4851</v>
      </c>
      <c r="T519" t="s">
        <v>21</v>
      </c>
    </row>
    <row r="520" spans="1:20" x14ac:dyDescent="0.25">
      <c r="A520">
        <v>38</v>
      </c>
      <c r="B520" t="str">
        <f t="shared" si="8"/>
        <v>35-44</v>
      </c>
      <c r="C520" t="s">
        <v>21</v>
      </c>
      <c r="F520" t="s">
        <v>17</v>
      </c>
      <c r="G520">
        <v>243</v>
      </c>
      <c r="H520" t="s">
        <v>18</v>
      </c>
      <c r="I520">
        <v>7</v>
      </c>
      <c r="J520">
        <v>4</v>
      </c>
      <c r="K520" t="s">
        <v>34</v>
      </c>
      <c r="L520">
        <v>1</v>
      </c>
      <c r="M520">
        <v>709</v>
      </c>
      <c r="O520">
        <v>4</v>
      </c>
      <c r="P520">
        <v>2</v>
      </c>
      <c r="Q520" t="s">
        <v>20</v>
      </c>
      <c r="R520">
        <v>4</v>
      </c>
      <c r="S520">
        <v>4028</v>
      </c>
      <c r="T520" t="s">
        <v>21</v>
      </c>
    </row>
    <row r="521" spans="1:20" x14ac:dyDescent="0.25">
      <c r="A521">
        <v>29</v>
      </c>
      <c r="B521" t="str">
        <f t="shared" si="8"/>
        <v>25-34</v>
      </c>
      <c r="C521" t="s">
        <v>21</v>
      </c>
      <c r="F521" t="s">
        <v>22</v>
      </c>
      <c r="G521">
        <v>806</v>
      </c>
      <c r="H521" t="s">
        <v>23</v>
      </c>
      <c r="I521">
        <v>1</v>
      </c>
      <c r="J521">
        <v>4</v>
      </c>
      <c r="K521" t="s">
        <v>19</v>
      </c>
      <c r="L521">
        <v>1</v>
      </c>
      <c r="M521">
        <v>710</v>
      </c>
      <c r="O521">
        <v>2</v>
      </c>
      <c r="P521">
        <v>1</v>
      </c>
      <c r="Q521" t="s">
        <v>24</v>
      </c>
      <c r="R521">
        <v>4</v>
      </c>
      <c r="S521">
        <v>2720</v>
      </c>
      <c r="T521" t="s">
        <v>21</v>
      </c>
    </row>
    <row r="522" spans="1:20" x14ac:dyDescent="0.25">
      <c r="A522">
        <v>48</v>
      </c>
      <c r="B522" t="str">
        <f t="shared" si="8"/>
        <v>45-54</v>
      </c>
      <c r="C522" t="s">
        <v>21</v>
      </c>
      <c r="F522" t="s">
        <v>17</v>
      </c>
      <c r="G522">
        <v>817</v>
      </c>
      <c r="H522" t="s">
        <v>18</v>
      </c>
      <c r="I522">
        <v>2</v>
      </c>
      <c r="J522">
        <v>1</v>
      </c>
      <c r="K522" t="s">
        <v>34</v>
      </c>
      <c r="L522">
        <v>1</v>
      </c>
      <c r="M522">
        <v>712</v>
      </c>
      <c r="O522">
        <v>2</v>
      </c>
      <c r="P522">
        <v>2</v>
      </c>
      <c r="Q522" t="s">
        <v>20</v>
      </c>
      <c r="R522">
        <v>2</v>
      </c>
      <c r="S522">
        <v>8120</v>
      </c>
      <c r="T522" t="s">
        <v>21</v>
      </c>
    </row>
    <row r="523" spans="1:20" x14ac:dyDescent="0.25">
      <c r="A523">
        <v>27</v>
      </c>
      <c r="B523" t="str">
        <f t="shared" si="8"/>
        <v>25-34</v>
      </c>
      <c r="C523" t="s">
        <v>21</v>
      </c>
      <c r="F523" t="s">
        <v>22</v>
      </c>
      <c r="G523">
        <v>1410</v>
      </c>
      <c r="H523" t="s">
        <v>18</v>
      </c>
      <c r="I523">
        <v>3</v>
      </c>
      <c r="J523">
        <v>1</v>
      </c>
      <c r="K523" t="s">
        <v>27</v>
      </c>
      <c r="L523">
        <v>1</v>
      </c>
      <c r="M523">
        <v>714</v>
      </c>
      <c r="O523">
        <v>4</v>
      </c>
      <c r="P523">
        <v>2</v>
      </c>
      <c r="Q523" t="s">
        <v>20</v>
      </c>
      <c r="R523">
        <v>4</v>
      </c>
      <c r="S523">
        <v>4647</v>
      </c>
      <c r="T523" t="s">
        <v>16</v>
      </c>
    </row>
    <row r="524" spans="1:20" x14ac:dyDescent="0.25">
      <c r="A524">
        <v>37</v>
      </c>
      <c r="B524" t="str">
        <f t="shared" si="8"/>
        <v>35-44</v>
      </c>
      <c r="C524" t="s">
        <v>21</v>
      </c>
      <c r="F524" t="s">
        <v>17</v>
      </c>
      <c r="G524">
        <v>1225</v>
      </c>
      <c r="H524" t="s">
        <v>23</v>
      </c>
      <c r="I524">
        <v>10</v>
      </c>
      <c r="J524">
        <v>2</v>
      </c>
      <c r="K524" t="s">
        <v>19</v>
      </c>
      <c r="L524">
        <v>1</v>
      </c>
      <c r="M524">
        <v>715</v>
      </c>
      <c r="O524">
        <v>4</v>
      </c>
      <c r="P524">
        <v>1</v>
      </c>
      <c r="Q524" t="s">
        <v>24</v>
      </c>
      <c r="R524">
        <v>4</v>
      </c>
      <c r="S524">
        <v>4680</v>
      </c>
      <c r="T524" t="s">
        <v>21</v>
      </c>
    </row>
    <row r="525" spans="1:20" x14ac:dyDescent="0.25">
      <c r="A525">
        <v>50</v>
      </c>
      <c r="B525" t="str">
        <f t="shared" si="8"/>
        <v>45-54</v>
      </c>
      <c r="C525" t="s">
        <v>21</v>
      </c>
      <c r="F525" t="s">
        <v>17</v>
      </c>
      <c r="G525">
        <v>1207</v>
      </c>
      <c r="H525" t="s">
        <v>23</v>
      </c>
      <c r="I525">
        <v>28</v>
      </c>
      <c r="J525">
        <v>1</v>
      </c>
      <c r="K525" t="s">
        <v>27</v>
      </c>
      <c r="L525">
        <v>1</v>
      </c>
      <c r="M525">
        <v>716</v>
      </c>
      <c r="O525">
        <v>4</v>
      </c>
      <c r="P525">
        <v>1</v>
      </c>
      <c r="Q525" t="s">
        <v>26</v>
      </c>
      <c r="R525">
        <v>3</v>
      </c>
      <c r="S525">
        <v>3221</v>
      </c>
      <c r="T525" t="s">
        <v>16</v>
      </c>
    </row>
    <row r="526" spans="1:20" x14ac:dyDescent="0.25">
      <c r="A526">
        <v>34</v>
      </c>
      <c r="B526" t="str">
        <f t="shared" si="8"/>
        <v>25-34</v>
      </c>
      <c r="C526" t="s">
        <v>21</v>
      </c>
      <c r="F526" t="s">
        <v>17</v>
      </c>
      <c r="G526">
        <v>1442</v>
      </c>
      <c r="H526" t="s">
        <v>23</v>
      </c>
      <c r="I526">
        <v>9</v>
      </c>
      <c r="J526">
        <v>3</v>
      </c>
      <c r="K526" t="s">
        <v>27</v>
      </c>
      <c r="L526">
        <v>1</v>
      </c>
      <c r="M526">
        <v>717</v>
      </c>
      <c r="O526">
        <v>4</v>
      </c>
      <c r="P526">
        <v>3</v>
      </c>
      <c r="Q526" t="s">
        <v>29</v>
      </c>
      <c r="R526">
        <v>2</v>
      </c>
      <c r="S526">
        <v>8621</v>
      </c>
      <c r="T526" t="s">
        <v>21</v>
      </c>
    </row>
    <row r="527" spans="1:20" x14ac:dyDescent="0.25">
      <c r="A527">
        <v>24</v>
      </c>
      <c r="B527" t="str">
        <f t="shared" si="8"/>
        <v>18-24</v>
      </c>
      <c r="C527" t="s">
        <v>16</v>
      </c>
      <c r="F527" t="s">
        <v>17</v>
      </c>
      <c r="G527">
        <v>693</v>
      </c>
      <c r="H527" t="s">
        <v>18</v>
      </c>
      <c r="I527">
        <v>3</v>
      </c>
      <c r="J527">
        <v>2</v>
      </c>
      <c r="K527" t="s">
        <v>19</v>
      </c>
      <c r="L527">
        <v>1</v>
      </c>
      <c r="M527">
        <v>720</v>
      </c>
      <c r="O527">
        <v>1</v>
      </c>
      <c r="P527">
        <v>2</v>
      </c>
      <c r="Q527" t="s">
        <v>20</v>
      </c>
      <c r="R527">
        <v>3</v>
      </c>
      <c r="S527">
        <v>4577</v>
      </c>
      <c r="T527" t="s">
        <v>21</v>
      </c>
    </row>
    <row r="528" spans="1:20" x14ac:dyDescent="0.25">
      <c r="A528">
        <v>39</v>
      </c>
      <c r="B528" t="str">
        <f t="shared" si="8"/>
        <v>35-44</v>
      </c>
      <c r="C528" t="s">
        <v>21</v>
      </c>
      <c r="F528" t="s">
        <v>17</v>
      </c>
      <c r="G528">
        <v>408</v>
      </c>
      <c r="H528" t="s">
        <v>23</v>
      </c>
      <c r="I528">
        <v>2</v>
      </c>
      <c r="J528">
        <v>4</v>
      </c>
      <c r="K528" t="s">
        <v>35</v>
      </c>
      <c r="L528">
        <v>1</v>
      </c>
      <c r="M528">
        <v>721</v>
      </c>
      <c r="O528">
        <v>4</v>
      </c>
      <c r="P528">
        <v>2</v>
      </c>
      <c r="Q528" t="s">
        <v>29</v>
      </c>
      <c r="R528">
        <v>3</v>
      </c>
      <c r="S528">
        <v>4553</v>
      </c>
      <c r="T528" t="s">
        <v>21</v>
      </c>
    </row>
    <row r="529" spans="1:20" x14ac:dyDescent="0.25">
      <c r="A529">
        <v>32</v>
      </c>
      <c r="B529" t="str">
        <f t="shared" si="8"/>
        <v>25-34</v>
      </c>
      <c r="C529" t="s">
        <v>21</v>
      </c>
      <c r="F529" t="s">
        <v>17</v>
      </c>
      <c r="G529">
        <v>929</v>
      </c>
      <c r="H529" t="s">
        <v>18</v>
      </c>
      <c r="I529">
        <v>10</v>
      </c>
      <c r="J529">
        <v>3</v>
      </c>
      <c r="K529" t="s">
        <v>34</v>
      </c>
      <c r="L529">
        <v>1</v>
      </c>
      <c r="M529">
        <v>722</v>
      </c>
      <c r="O529">
        <v>4</v>
      </c>
      <c r="P529">
        <v>2</v>
      </c>
      <c r="Q529" t="s">
        <v>20</v>
      </c>
      <c r="R529">
        <v>4</v>
      </c>
      <c r="S529">
        <v>5396</v>
      </c>
      <c r="T529" t="s">
        <v>21</v>
      </c>
    </row>
    <row r="530" spans="1:20" x14ac:dyDescent="0.25">
      <c r="A530">
        <v>50</v>
      </c>
      <c r="B530" t="str">
        <f t="shared" si="8"/>
        <v>45-54</v>
      </c>
      <c r="C530" t="s">
        <v>16</v>
      </c>
      <c r="F530" t="s">
        <v>22</v>
      </c>
      <c r="G530">
        <v>562</v>
      </c>
      <c r="H530" t="s">
        <v>18</v>
      </c>
      <c r="I530">
        <v>8</v>
      </c>
      <c r="J530">
        <v>2</v>
      </c>
      <c r="K530" t="s">
        <v>35</v>
      </c>
      <c r="L530">
        <v>1</v>
      </c>
      <c r="M530">
        <v>723</v>
      </c>
      <c r="O530">
        <v>2</v>
      </c>
      <c r="P530">
        <v>2</v>
      </c>
      <c r="Q530" t="s">
        <v>20</v>
      </c>
      <c r="R530">
        <v>3</v>
      </c>
      <c r="S530">
        <v>6796</v>
      </c>
      <c r="T530" t="s">
        <v>16</v>
      </c>
    </row>
    <row r="531" spans="1:20" x14ac:dyDescent="0.25">
      <c r="A531">
        <v>38</v>
      </c>
      <c r="B531" t="str">
        <f t="shared" si="8"/>
        <v>35-44</v>
      </c>
      <c r="C531" t="s">
        <v>21</v>
      </c>
      <c r="F531" t="s">
        <v>17</v>
      </c>
      <c r="G531">
        <v>827</v>
      </c>
      <c r="H531" t="s">
        <v>23</v>
      </c>
      <c r="I531">
        <v>1</v>
      </c>
      <c r="J531">
        <v>4</v>
      </c>
      <c r="K531" t="s">
        <v>19</v>
      </c>
      <c r="L531">
        <v>1</v>
      </c>
      <c r="M531">
        <v>724</v>
      </c>
      <c r="O531">
        <v>2</v>
      </c>
      <c r="P531">
        <v>2</v>
      </c>
      <c r="Q531" t="s">
        <v>29</v>
      </c>
      <c r="R531">
        <v>4</v>
      </c>
      <c r="S531">
        <v>7625</v>
      </c>
      <c r="T531" t="s">
        <v>21</v>
      </c>
    </row>
    <row r="532" spans="1:20" x14ac:dyDescent="0.25">
      <c r="A532">
        <v>27</v>
      </c>
      <c r="B532" t="str">
        <f t="shared" si="8"/>
        <v>25-34</v>
      </c>
      <c r="C532" t="s">
        <v>21</v>
      </c>
      <c r="F532" t="s">
        <v>17</v>
      </c>
      <c r="G532">
        <v>608</v>
      </c>
      <c r="H532" t="s">
        <v>23</v>
      </c>
      <c r="I532">
        <v>1</v>
      </c>
      <c r="J532">
        <v>2</v>
      </c>
      <c r="K532" t="s">
        <v>19</v>
      </c>
      <c r="L532">
        <v>1</v>
      </c>
      <c r="M532">
        <v>725</v>
      </c>
      <c r="O532">
        <v>3</v>
      </c>
      <c r="P532">
        <v>3</v>
      </c>
      <c r="Q532" t="s">
        <v>28</v>
      </c>
      <c r="R532">
        <v>1</v>
      </c>
      <c r="S532">
        <v>7412</v>
      </c>
      <c r="T532" t="s">
        <v>21</v>
      </c>
    </row>
    <row r="533" spans="1:20" x14ac:dyDescent="0.25">
      <c r="A533">
        <v>32</v>
      </c>
      <c r="B533" t="str">
        <f t="shared" si="8"/>
        <v>25-34</v>
      </c>
      <c r="C533" t="s">
        <v>21</v>
      </c>
      <c r="F533" t="s">
        <v>17</v>
      </c>
      <c r="G533">
        <v>1018</v>
      </c>
      <c r="H533" t="s">
        <v>23</v>
      </c>
      <c r="I533">
        <v>3</v>
      </c>
      <c r="J533">
        <v>2</v>
      </c>
      <c r="K533" t="s">
        <v>19</v>
      </c>
      <c r="L533">
        <v>1</v>
      </c>
      <c r="M533">
        <v>727</v>
      </c>
      <c r="O533">
        <v>3</v>
      </c>
      <c r="P533">
        <v>3</v>
      </c>
      <c r="Q533" t="s">
        <v>33</v>
      </c>
      <c r="R533">
        <v>4</v>
      </c>
      <c r="S533">
        <v>11159</v>
      </c>
      <c r="T533" t="s">
        <v>21</v>
      </c>
    </row>
    <row r="534" spans="1:20" x14ac:dyDescent="0.25">
      <c r="A534">
        <v>47</v>
      </c>
      <c r="B534" t="str">
        <f t="shared" si="8"/>
        <v>45-54</v>
      </c>
      <c r="C534" t="s">
        <v>21</v>
      </c>
      <c r="F534" t="s">
        <v>17</v>
      </c>
      <c r="G534">
        <v>703</v>
      </c>
      <c r="H534" t="s">
        <v>18</v>
      </c>
      <c r="I534">
        <v>14</v>
      </c>
      <c r="J534">
        <v>4</v>
      </c>
      <c r="K534" t="s">
        <v>34</v>
      </c>
      <c r="L534">
        <v>1</v>
      </c>
      <c r="M534">
        <v>728</v>
      </c>
      <c r="O534">
        <v>4</v>
      </c>
      <c r="P534">
        <v>2</v>
      </c>
      <c r="Q534" t="s">
        <v>20</v>
      </c>
      <c r="R534">
        <v>1</v>
      </c>
      <c r="S534">
        <v>4960</v>
      </c>
      <c r="T534" t="s">
        <v>21</v>
      </c>
    </row>
    <row r="535" spans="1:20" x14ac:dyDescent="0.25">
      <c r="A535">
        <v>40</v>
      </c>
      <c r="B535" t="str">
        <f t="shared" si="8"/>
        <v>35-44</v>
      </c>
      <c r="C535" t="s">
        <v>21</v>
      </c>
      <c r="F535" t="s">
        <v>22</v>
      </c>
      <c r="G535">
        <v>580</v>
      </c>
      <c r="H535" t="s">
        <v>18</v>
      </c>
      <c r="I535">
        <v>5</v>
      </c>
      <c r="J535">
        <v>4</v>
      </c>
      <c r="K535" t="s">
        <v>19</v>
      </c>
      <c r="L535">
        <v>1</v>
      </c>
      <c r="M535">
        <v>729</v>
      </c>
      <c r="O535">
        <v>4</v>
      </c>
      <c r="P535">
        <v>3</v>
      </c>
      <c r="Q535" t="s">
        <v>20</v>
      </c>
      <c r="R535">
        <v>1</v>
      </c>
      <c r="S535">
        <v>10475</v>
      </c>
      <c r="T535" t="s">
        <v>16</v>
      </c>
    </row>
    <row r="536" spans="1:20" x14ac:dyDescent="0.25">
      <c r="A536">
        <v>53</v>
      </c>
      <c r="B536" t="str">
        <f t="shared" si="8"/>
        <v>45-54</v>
      </c>
      <c r="C536" t="s">
        <v>21</v>
      </c>
      <c r="F536" t="s">
        <v>17</v>
      </c>
      <c r="G536">
        <v>970</v>
      </c>
      <c r="H536" t="s">
        <v>23</v>
      </c>
      <c r="I536">
        <v>7</v>
      </c>
      <c r="J536">
        <v>3</v>
      </c>
      <c r="K536" t="s">
        <v>19</v>
      </c>
      <c r="L536">
        <v>1</v>
      </c>
      <c r="M536">
        <v>730</v>
      </c>
      <c r="O536">
        <v>3</v>
      </c>
      <c r="P536">
        <v>4</v>
      </c>
      <c r="Q536" t="s">
        <v>33</v>
      </c>
      <c r="R536">
        <v>3</v>
      </c>
      <c r="S536">
        <v>14814</v>
      </c>
      <c r="T536" t="s">
        <v>21</v>
      </c>
    </row>
    <row r="537" spans="1:20" x14ac:dyDescent="0.25">
      <c r="A537">
        <v>41</v>
      </c>
      <c r="B537" t="str">
        <f t="shared" si="8"/>
        <v>35-44</v>
      </c>
      <c r="C537" t="s">
        <v>21</v>
      </c>
      <c r="F537" t="s">
        <v>17</v>
      </c>
      <c r="G537">
        <v>427</v>
      </c>
      <c r="H537" t="s">
        <v>36</v>
      </c>
      <c r="I537">
        <v>10</v>
      </c>
      <c r="J537">
        <v>4</v>
      </c>
      <c r="K537" t="s">
        <v>36</v>
      </c>
      <c r="L537">
        <v>1</v>
      </c>
      <c r="M537">
        <v>731</v>
      </c>
      <c r="O537">
        <v>2</v>
      </c>
      <c r="P537">
        <v>5</v>
      </c>
      <c r="Q537" t="s">
        <v>31</v>
      </c>
      <c r="R537">
        <v>4</v>
      </c>
      <c r="S537">
        <v>19141</v>
      </c>
      <c r="T537" t="s">
        <v>21</v>
      </c>
    </row>
    <row r="538" spans="1:20" x14ac:dyDescent="0.25">
      <c r="A538">
        <v>60</v>
      </c>
      <c r="B538" t="str">
        <f t="shared" si="8"/>
        <v>55+</v>
      </c>
      <c r="C538" t="s">
        <v>21</v>
      </c>
      <c r="F538" t="s">
        <v>17</v>
      </c>
      <c r="G538">
        <v>1179</v>
      </c>
      <c r="H538" t="s">
        <v>18</v>
      </c>
      <c r="I538">
        <v>16</v>
      </c>
      <c r="J538">
        <v>4</v>
      </c>
      <c r="K538" t="s">
        <v>34</v>
      </c>
      <c r="L538">
        <v>1</v>
      </c>
      <c r="M538">
        <v>732</v>
      </c>
      <c r="O538">
        <v>1</v>
      </c>
      <c r="P538">
        <v>2</v>
      </c>
      <c r="Q538" t="s">
        <v>20</v>
      </c>
      <c r="R538">
        <v>1</v>
      </c>
      <c r="S538">
        <v>5405</v>
      </c>
      <c r="T538" t="s">
        <v>21</v>
      </c>
    </row>
    <row r="539" spans="1:20" x14ac:dyDescent="0.25">
      <c r="A539">
        <v>27</v>
      </c>
      <c r="B539" t="str">
        <f t="shared" si="8"/>
        <v>25-34</v>
      </c>
      <c r="C539" t="s">
        <v>21</v>
      </c>
      <c r="F539" t="s">
        <v>22</v>
      </c>
      <c r="G539">
        <v>294</v>
      </c>
      <c r="H539" t="s">
        <v>23</v>
      </c>
      <c r="I539">
        <v>10</v>
      </c>
      <c r="J539">
        <v>2</v>
      </c>
      <c r="K539" t="s">
        <v>19</v>
      </c>
      <c r="L539">
        <v>1</v>
      </c>
      <c r="M539">
        <v>733</v>
      </c>
      <c r="O539">
        <v>4</v>
      </c>
      <c r="P539">
        <v>3</v>
      </c>
      <c r="Q539" t="s">
        <v>28</v>
      </c>
      <c r="R539">
        <v>1</v>
      </c>
      <c r="S539">
        <v>8793</v>
      </c>
      <c r="T539" t="s">
        <v>21</v>
      </c>
    </row>
    <row r="540" spans="1:20" x14ac:dyDescent="0.25">
      <c r="A540">
        <v>41</v>
      </c>
      <c r="B540" t="str">
        <f t="shared" si="8"/>
        <v>35-44</v>
      </c>
      <c r="C540" t="s">
        <v>21</v>
      </c>
      <c r="F540" t="s">
        <v>17</v>
      </c>
      <c r="G540">
        <v>314</v>
      </c>
      <c r="H540" t="s">
        <v>36</v>
      </c>
      <c r="I540">
        <v>1</v>
      </c>
      <c r="J540">
        <v>3</v>
      </c>
      <c r="K540" t="s">
        <v>36</v>
      </c>
      <c r="L540">
        <v>1</v>
      </c>
      <c r="M540">
        <v>734</v>
      </c>
      <c r="O540">
        <v>4</v>
      </c>
      <c r="P540">
        <v>5</v>
      </c>
      <c r="Q540" t="s">
        <v>31</v>
      </c>
      <c r="R540">
        <v>3</v>
      </c>
      <c r="S540">
        <v>19189</v>
      </c>
      <c r="T540" t="s">
        <v>21</v>
      </c>
    </row>
    <row r="541" spans="1:20" x14ac:dyDescent="0.25">
      <c r="A541">
        <v>50</v>
      </c>
      <c r="B541" t="str">
        <f t="shared" si="8"/>
        <v>45-54</v>
      </c>
      <c r="C541" t="s">
        <v>21</v>
      </c>
      <c r="F541" t="s">
        <v>17</v>
      </c>
      <c r="G541">
        <v>316</v>
      </c>
      <c r="H541" t="s">
        <v>18</v>
      </c>
      <c r="I541">
        <v>8</v>
      </c>
      <c r="J541">
        <v>4</v>
      </c>
      <c r="K541" t="s">
        <v>34</v>
      </c>
      <c r="L541">
        <v>1</v>
      </c>
      <c r="M541">
        <v>738</v>
      </c>
      <c r="O541">
        <v>4</v>
      </c>
      <c r="P541">
        <v>1</v>
      </c>
      <c r="Q541" t="s">
        <v>32</v>
      </c>
      <c r="R541">
        <v>2</v>
      </c>
      <c r="S541">
        <v>3875</v>
      </c>
      <c r="T541" t="s">
        <v>21</v>
      </c>
    </row>
    <row r="542" spans="1:20" x14ac:dyDescent="0.25">
      <c r="A542">
        <v>28</v>
      </c>
      <c r="B542" t="str">
        <f t="shared" si="8"/>
        <v>25-34</v>
      </c>
      <c r="C542" t="s">
        <v>16</v>
      </c>
      <c r="F542" t="s">
        <v>17</v>
      </c>
      <c r="G542">
        <v>654</v>
      </c>
      <c r="H542" t="s">
        <v>23</v>
      </c>
      <c r="I542">
        <v>1</v>
      </c>
      <c r="J542">
        <v>2</v>
      </c>
      <c r="K542" t="s">
        <v>19</v>
      </c>
      <c r="L542">
        <v>1</v>
      </c>
      <c r="M542">
        <v>741</v>
      </c>
      <c r="O542">
        <v>1</v>
      </c>
      <c r="P542">
        <v>1</v>
      </c>
      <c r="Q542" t="s">
        <v>24</v>
      </c>
      <c r="R542">
        <v>2</v>
      </c>
      <c r="S542">
        <v>2216</v>
      </c>
      <c r="T542" t="s">
        <v>16</v>
      </c>
    </row>
    <row r="543" spans="1:20" x14ac:dyDescent="0.25">
      <c r="A543">
        <v>36</v>
      </c>
      <c r="B543" t="str">
        <f t="shared" si="8"/>
        <v>35-44</v>
      </c>
      <c r="C543" t="s">
        <v>21</v>
      </c>
      <c r="F543" t="s">
        <v>30</v>
      </c>
      <c r="G543">
        <v>427</v>
      </c>
      <c r="H543" t="s">
        <v>23</v>
      </c>
      <c r="I543">
        <v>8</v>
      </c>
      <c r="J543">
        <v>3</v>
      </c>
      <c r="K543" t="s">
        <v>19</v>
      </c>
      <c r="L543">
        <v>1</v>
      </c>
      <c r="M543">
        <v>742</v>
      </c>
      <c r="O543">
        <v>1</v>
      </c>
      <c r="P543">
        <v>3</v>
      </c>
      <c r="Q543" t="s">
        <v>33</v>
      </c>
      <c r="R543">
        <v>1</v>
      </c>
      <c r="S543">
        <v>11713</v>
      </c>
      <c r="T543" t="s">
        <v>21</v>
      </c>
    </row>
    <row r="544" spans="1:20" x14ac:dyDescent="0.25">
      <c r="A544">
        <v>38</v>
      </c>
      <c r="B544" t="str">
        <f t="shared" si="8"/>
        <v>35-44</v>
      </c>
      <c r="C544" t="s">
        <v>21</v>
      </c>
      <c r="F544" t="s">
        <v>17</v>
      </c>
      <c r="G544">
        <v>168</v>
      </c>
      <c r="H544" t="s">
        <v>23</v>
      </c>
      <c r="I544">
        <v>1</v>
      </c>
      <c r="J544">
        <v>3</v>
      </c>
      <c r="K544" t="s">
        <v>19</v>
      </c>
      <c r="L544">
        <v>1</v>
      </c>
      <c r="M544">
        <v>743</v>
      </c>
      <c r="O544">
        <v>3</v>
      </c>
      <c r="P544">
        <v>3</v>
      </c>
      <c r="Q544" t="s">
        <v>28</v>
      </c>
      <c r="R544">
        <v>3</v>
      </c>
      <c r="S544">
        <v>7861</v>
      </c>
      <c r="T544" t="s">
        <v>16</v>
      </c>
    </row>
    <row r="545" spans="1:20" x14ac:dyDescent="0.25">
      <c r="A545">
        <v>44</v>
      </c>
      <c r="B545" t="str">
        <f t="shared" si="8"/>
        <v>35-44</v>
      </c>
      <c r="C545" t="s">
        <v>21</v>
      </c>
      <c r="F545" t="s">
        <v>30</v>
      </c>
      <c r="G545">
        <v>381</v>
      </c>
      <c r="H545" t="s">
        <v>23</v>
      </c>
      <c r="I545">
        <v>24</v>
      </c>
      <c r="J545">
        <v>3</v>
      </c>
      <c r="K545" t="s">
        <v>27</v>
      </c>
      <c r="L545">
        <v>1</v>
      </c>
      <c r="M545">
        <v>744</v>
      </c>
      <c r="O545">
        <v>1</v>
      </c>
      <c r="P545">
        <v>1</v>
      </c>
      <c r="Q545" t="s">
        <v>26</v>
      </c>
      <c r="R545">
        <v>3</v>
      </c>
      <c r="S545">
        <v>3708</v>
      </c>
      <c r="T545" t="s">
        <v>21</v>
      </c>
    </row>
    <row r="546" spans="1:20" x14ac:dyDescent="0.25">
      <c r="A546">
        <v>47</v>
      </c>
      <c r="B546" t="str">
        <f t="shared" si="8"/>
        <v>45-54</v>
      </c>
      <c r="C546" t="s">
        <v>21</v>
      </c>
      <c r="F546" t="s">
        <v>22</v>
      </c>
      <c r="G546">
        <v>217</v>
      </c>
      <c r="H546" t="s">
        <v>18</v>
      </c>
      <c r="I546">
        <v>3</v>
      </c>
      <c r="J546">
        <v>3</v>
      </c>
      <c r="K546" t="s">
        <v>27</v>
      </c>
      <c r="L546">
        <v>1</v>
      </c>
      <c r="M546">
        <v>746</v>
      </c>
      <c r="O546">
        <v>4</v>
      </c>
      <c r="P546">
        <v>4</v>
      </c>
      <c r="Q546" t="s">
        <v>20</v>
      </c>
      <c r="R546">
        <v>3</v>
      </c>
      <c r="S546">
        <v>13770</v>
      </c>
      <c r="T546" t="s">
        <v>16</v>
      </c>
    </row>
    <row r="547" spans="1:20" x14ac:dyDescent="0.25">
      <c r="A547">
        <v>30</v>
      </c>
      <c r="B547" t="str">
        <f t="shared" si="8"/>
        <v>25-34</v>
      </c>
      <c r="C547" t="s">
        <v>21</v>
      </c>
      <c r="F547" t="s">
        <v>17</v>
      </c>
      <c r="G547">
        <v>501</v>
      </c>
      <c r="H547" t="s">
        <v>18</v>
      </c>
      <c r="I547">
        <v>27</v>
      </c>
      <c r="J547">
        <v>5</v>
      </c>
      <c r="K547" t="s">
        <v>34</v>
      </c>
      <c r="L547">
        <v>1</v>
      </c>
      <c r="M547">
        <v>747</v>
      </c>
      <c r="O547">
        <v>3</v>
      </c>
      <c r="P547">
        <v>2</v>
      </c>
      <c r="Q547" t="s">
        <v>20</v>
      </c>
      <c r="R547">
        <v>4</v>
      </c>
      <c r="S547">
        <v>5304</v>
      </c>
      <c r="T547" t="s">
        <v>21</v>
      </c>
    </row>
    <row r="548" spans="1:20" x14ac:dyDescent="0.25">
      <c r="A548">
        <v>29</v>
      </c>
      <c r="B548" t="str">
        <f t="shared" si="8"/>
        <v>25-34</v>
      </c>
      <c r="C548" t="s">
        <v>21</v>
      </c>
      <c r="F548" t="s">
        <v>17</v>
      </c>
      <c r="G548">
        <v>1396</v>
      </c>
      <c r="H548" t="s">
        <v>18</v>
      </c>
      <c r="I548">
        <v>10</v>
      </c>
      <c r="J548">
        <v>3</v>
      </c>
      <c r="K548" t="s">
        <v>19</v>
      </c>
      <c r="L548">
        <v>1</v>
      </c>
      <c r="M548">
        <v>749</v>
      </c>
      <c r="O548">
        <v>3</v>
      </c>
      <c r="P548">
        <v>1</v>
      </c>
      <c r="Q548" t="s">
        <v>32</v>
      </c>
      <c r="R548">
        <v>3</v>
      </c>
      <c r="S548">
        <v>2642</v>
      </c>
      <c r="T548" t="s">
        <v>21</v>
      </c>
    </row>
    <row r="549" spans="1:20" x14ac:dyDescent="0.25">
      <c r="A549">
        <v>42</v>
      </c>
      <c r="B549" t="str">
        <f t="shared" si="8"/>
        <v>35-44</v>
      </c>
      <c r="C549" t="s">
        <v>16</v>
      </c>
      <c r="F549" t="s">
        <v>22</v>
      </c>
      <c r="G549">
        <v>933</v>
      </c>
      <c r="H549" t="s">
        <v>23</v>
      </c>
      <c r="I549">
        <v>19</v>
      </c>
      <c r="J549">
        <v>3</v>
      </c>
      <c r="K549" t="s">
        <v>27</v>
      </c>
      <c r="L549">
        <v>1</v>
      </c>
      <c r="M549">
        <v>752</v>
      </c>
      <c r="O549">
        <v>3</v>
      </c>
      <c r="P549">
        <v>1</v>
      </c>
      <c r="Q549" t="s">
        <v>24</v>
      </c>
      <c r="R549">
        <v>3</v>
      </c>
      <c r="S549">
        <v>2759</v>
      </c>
      <c r="T549" t="s">
        <v>16</v>
      </c>
    </row>
    <row r="550" spans="1:20" x14ac:dyDescent="0.25">
      <c r="A550">
        <v>43</v>
      </c>
      <c r="B550" t="str">
        <f t="shared" si="8"/>
        <v>35-44</v>
      </c>
      <c r="C550" t="s">
        <v>21</v>
      </c>
      <c r="F550" t="s">
        <v>22</v>
      </c>
      <c r="G550">
        <v>775</v>
      </c>
      <c r="H550" t="s">
        <v>18</v>
      </c>
      <c r="I550">
        <v>15</v>
      </c>
      <c r="J550">
        <v>3</v>
      </c>
      <c r="K550" t="s">
        <v>19</v>
      </c>
      <c r="L550">
        <v>1</v>
      </c>
      <c r="M550">
        <v>754</v>
      </c>
      <c r="O550">
        <v>4</v>
      </c>
      <c r="P550">
        <v>2</v>
      </c>
      <c r="Q550" t="s">
        <v>20</v>
      </c>
      <c r="R550">
        <v>4</v>
      </c>
      <c r="S550">
        <v>6804</v>
      </c>
      <c r="T550" t="s">
        <v>21</v>
      </c>
    </row>
    <row r="551" spans="1:20" x14ac:dyDescent="0.25">
      <c r="A551">
        <v>34</v>
      </c>
      <c r="B551" t="str">
        <f t="shared" si="8"/>
        <v>25-34</v>
      </c>
      <c r="C551" t="s">
        <v>21</v>
      </c>
      <c r="F551" t="s">
        <v>17</v>
      </c>
      <c r="G551">
        <v>970</v>
      </c>
      <c r="H551" t="s">
        <v>23</v>
      </c>
      <c r="I551">
        <v>8</v>
      </c>
      <c r="J551">
        <v>2</v>
      </c>
      <c r="K551" t="s">
        <v>27</v>
      </c>
      <c r="L551">
        <v>1</v>
      </c>
      <c r="M551">
        <v>757</v>
      </c>
      <c r="O551">
        <v>2</v>
      </c>
      <c r="P551">
        <v>2</v>
      </c>
      <c r="Q551" t="s">
        <v>29</v>
      </c>
      <c r="R551">
        <v>3</v>
      </c>
      <c r="S551">
        <v>6142</v>
      </c>
      <c r="T551" t="s">
        <v>21</v>
      </c>
    </row>
    <row r="552" spans="1:20" x14ac:dyDescent="0.25">
      <c r="A552">
        <v>23</v>
      </c>
      <c r="B552" t="str">
        <f t="shared" si="8"/>
        <v>18-24</v>
      </c>
      <c r="C552" t="s">
        <v>21</v>
      </c>
      <c r="F552" t="s">
        <v>17</v>
      </c>
      <c r="G552">
        <v>650</v>
      </c>
      <c r="H552" t="s">
        <v>23</v>
      </c>
      <c r="I552">
        <v>9</v>
      </c>
      <c r="J552">
        <v>1</v>
      </c>
      <c r="K552" t="s">
        <v>27</v>
      </c>
      <c r="L552">
        <v>1</v>
      </c>
      <c r="M552">
        <v>758</v>
      </c>
      <c r="O552">
        <v>2</v>
      </c>
      <c r="P552">
        <v>1</v>
      </c>
      <c r="Q552" t="s">
        <v>26</v>
      </c>
      <c r="R552">
        <v>1</v>
      </c>
      <c r="S552">
        <v>2500</v>
      </c>
      <c r="T552" t="s">
        <v>21</v>
      </c>
    </row>
    <row r="553" spans="1:20" x14ac:dyDescent="0.25">
      <c r="A553">
        <v>39</v>
      </c>
      <c r="B553" t="str">
        <f t="shared" si="8"/>
        <v>35-44</v>
      </c>
      <c r="C553" t="s">
        <v>21</v>
      </c>
      <c r="F553" t="s">
        <v>17</v>
      </c>
      <c r="G553">
        <v>141</v>
      </c>
      <c r="H553" t="s">
        <v>36</v>
      </c>
      <c r="I553">
        <v>3</v>
      </c>
      <c r="J553">
        <v>3</v>
      </c>
      <c r="K553" t="s">
        <v>36</v>
      </c>
      <c r="L553">
        <v>1</v>
      </c>
      <c r="M553">
        <v>760</v>
      </c>
      <c r="O553">
        <v>3</v>
      </c>
      <c r="P553">
        <v>2</v>
      </c>
      <c r="Q553" t="s">
        <v>36</v>
      </c>
      <c r="R553">
        <v>2</v>
      </c>
      <c r="S553">
        <v>6389</v>
      </c>
      <c r="T553" t="s">
        <v>21</v>
      </c>
    </row>
    <row r="554" spans="1:20" x14ac:dyDescent="0.25">
      <c r="A554">
        <v>56</v>
      </c>
      <c r="B554" t="str">
        <f t="shared" si="8"/>
        <v>55+</v>
      </c>
      <c r="C554" t="s">
        <v>21</v>
      </c>
      <c r="F554" t="s">
        <v>17</v>
      </c>
      <c r="G554">
        <v>832</v>
      </c>
      <c r="H554" t="s">
        <v>23</v>
      </c>
      <c r="I554">
        <v>9</v>
      </c>
      <c r="J554">
        <v>3</v>
      </c>
      <c r="K554" t="s">
        <v>27</v>
      </c>
      <c r="L554">
        <v>1</v>
      </c>
      <c r="M554">
        <v>762</v>
      </c>
      <c r="O554">
        <v>3</v>
      </c>
      <c r="P554">
        <v>4</v>
      </c>
      <c r="Q554" t="s">
        <v>29</v>
      </c>
      <c r="R554">
        <v>4</v>
      </c>
      <c r="S554">
        <v>11103</v>
      </c>
      <c r="T554" t="s">
        <v>21</v>
      </c>
    </row>
    <row r="555" spans="1:20" x14ac:dyDescent="0.25">
      <c r="A555">
        <v>40</v>
      </c>
      <c r="B555" t="str">
        <f t="shared" si="8"/>
        <v>35-44</v>
      </c>
      <c r="C555" t="s">
        <v>21</v>
      </c>
      <c r="F555" t="s">
        <v>17</v>
      </c>
      <c r="G555">
        <v>804</v>
      </c>
      <c r="H555" t="s">
        <v>23</v>
      </c>
      <c r="I555">
        <v>2</v>
      </c>
      <c r="J555">
        <v>1</v>
      </c>
      <c r="K555" t="s">
        <v>27</v>
      </c>
      <c r="L555">
        <v>1</v>
      </c>
      <c r="M555">
        <v>763</v>
      </c>
      <c r="O555">
        <v>4</v>
      </c>
      <c r="P555">
        <v>1</v>
      </c>
      <c r="Q555" t="s">
        <v>24</v>
      </c>
      <c r="R555">
        <v>4</v>
      </c>
      <c r="S555">
        <v>2342</v>
      </c>
      <c r="T555" t="s">
        <v>16</v>
      </c>
    </row>
    <row r="556" spans="1:20" x14ac:dyDescent="0.25">
      <c r="A556">
        <v>27</v>
      </c>
      <c r="B556" t="str">
        <f t="shared" si="8"/>
        <v>25-34</v>
      </c>
      <c r="C556" t="s">
        <v>21</v>
      </c>
      <c r="F556" t="s">
        <v>17</v>
      </c>
      <c r="G556">
        <v>975</v>
      </c>
      <c r="H556" t="s">
        <v>23</v>
      </c>
      <c r="I556">
        <v>7</v>
      </c>
      <c r="J556">
        <v>3</v>
      </c>
      <c r="K556" t="s">
        <v>27</v>
      </c>
      <c r="L556">
        <v>1</v>
      </c>
      <c r="M556">
        <v>764</v>
      </c>
      <c r="O556">
        <v>4</v>
      </c>
      <c r="P556">
        <v>2</v>
      </c>
      <c r="Q556" t="s">
        <v>29</v>
      </c>
      <c r="R556">
        <v>1</v>
      </c>
      <c r="S556">
        <v>6811</v>
      </c>
      <c r="T556" t="s">
        <v>21</v>
      </c>
    </row>
    <row r="557" spans="1:20" x14ac:dyDescent="0.25">
      <c r="A557">
        <v>29</v>
      </c>
      <c r="B557" t="str">
        <f t="shared" si="8"/>
        <v>25-34</v>
      </c>
      <c r="C557" t="s">
        <v>21</v>
      </c>
      <c r="F557" t="s">
        <v>17</v>
      </c>
      <c r="G557">
        <v>1090</v>
      </c>
      <c r="H557" t="s">
        <v>18</v>
      </c>
      <c r="I557">
        <v>10</v>
      </c>
      <c r="J557">
        <v>3</v>
      </c>
      <c r="K557" t="s">
        <v>34</v>
      </c>
      <c r="L557">
        <v>1</v>
      </c>
      <c r="M557">
        <v>766</v>
      </c>
      <c r="O557">
        <v>4</v>
      </c>
      <c r="P557">
        <v>1</v>
      </c>
      <c r="Q557" t="s">
        <v>32</v>
      </c>
      <c r="R557">
        <v>2</v>
      </c>
      <c r="S557">
        <v>2297</v>
      </c>
      <c r="T557" t="s">
        <v>21</v>
      </c>
    </row>
    <row r="558" spans="1:20" x14ac:dyDescent="0.25">
      <c r="A558">
        <v>53</v>
      </c>
      <c r="B558" t="str">
        <f t="shared" si="8"/>
        <v>45-54</v>
      </c>
      <c r="C558" t="s">
        <v>21</v>
      </c>
      <c r="F558" t="s">
        <v>17</v>
      </c>
      <c r="G558">
        <v>346</v>
      </c>
      <c r="H558" t="s">
        <v>23</v>
      </c>
      <c r="I558">
        <v>6</v>
      </c>
      <c r="J558">
        <v>3</v>
      </c>
      <c r="K558" t="s">
        <v>19</v>
      </c>
      <c r="L558">
        <v>1</v>
      </c>
      <c r="M558">
        <v>769</v>
      </c>
      <c r="O558">
        <v>4</v>
      </c>
      <c r="P558">
        <v>2</v>
      </c>
      <c r="Q558" t="s">
        <v>26</v>
      </c>
      <c r="R558">
        <v>4</v>
      </c>
      <c r="S558">
        <v>2450</v>
      </c>
      <c r="T558" t="s">
        <v>21</v>
      </c>
    </row>
    <row r="559" spans="1:20" x14ac:dyDescent="0.25">
      <c r="A559">
        <v>35</v>
      </c>
      <c r="B559" t="str">
        <f t="shared" si="8"/>
        <v>35-44</v>
      </c>
      <c r="C559" t="s">
        <v>21</v>
      </c>
      <c r="F559" t="s">
        <v>30</v>
      </c>
      <c r="G559">
        <v>1225</v>
      </c>
      <c r="H559" t="s">
        <v>23</v>
      </c>
      <c r="I559">
        <v>2</v>
      </c>
      <c r="J559">
        <v>4</v>
      </c>
      <c r="K559" t="s">
        <v>19</v>
      </c>
      <c r="L559">
        <v>1</v>
      </c>
      <c r="M559">
        <v>771</v>
      </c>
      <c r="O559">
        <v>4</v>
      </c>
      <c r="P559">
        <v>2</v>
      </c>
      <c r="Q559" t="s">
        <v>29</v>
      </c>
      <c r="R559">
        <v>1</v>
      </c>
      <c r="S559">
        <v>5093</v>
      </c>
      <c r="T559" t="s">
        <v>21</v>
      </c>
    </row>
    <row r="560" spans="1:20" x14ac:dyDescent="0.25">
      <c r="A560">
        <v>32</v>
      </c>
      <c r="B560" t="str">
        <f t="shared" si="8"/>
        <v>25-34</v>
      </c>
      <c r="C560" t="s">
        <v>21</v>
      </c>
      <c r="F560" t="s">
        <v>22</v>
      </c>
      <c r="G560">
        <v>430</v>
      </c>
      <c r="H560" t="s">
        <v>23</v>
      </c>
      <c r="I560">
        <v>24</v>
      </c>
      <c r="J560">
        <v>4</v>
      </c>
      <c r="K560" t="s">
        <v>19</v>
      </c>
      <c r="L560">
        <v>1</v>
      </c>
      <c r="M560">
        <v>772</v>
      </c>
      <c r="O560">
        <v>1</v>
      </c>
      <c r="P560">
        <v>2</v>
      </c>
      <c r="Q560" t="s">
        <v>26</v>
      </c>
      <c r="R560">
        <v>4</v>
      </c>
      <c r="S560">
        <v>5309</v>
      </c>
      <c r="T560" t="s">
        <v>21</v>
      </c>
    </row>
    <row r="561" spans="1:20" x14ac:dyDescent="0.25">
      <c r="A561">
        <v>38</v>
      </c>
      <c r="B561" t="str">
        <f t="shared" si="8"/>
        <v>35-44</v>
      </c>
      <c r="C561" t="s">
        <v>21</v>
      </c>
      <c r="F561" t="s">
        <v>17</v>
      </c>
      <c r="G561">
        <v>268</v>
      </c>
      <c r="H561" t="s">
        <v>23</v>
      </c>
      <c r="I561">
        <v>2</v>
      </c>
      <c r="J561">
        <v>5</v>
      </c>
      <c r="K561" t="s">
        <v>27</v>
      </c>
      <c r="L561">
        <v>1</v>
      </c>
      <c r="M561">
        <v>773</v>
      </c>
      <c r="O561">
        <v>4</v>
      </c>
      <c r="P561">
        <v>1</v>
      </c>
      <c r="Q561" t="s">
        <v>24</v>
      </c>
      <c r="R561">
        <v>3</v>
      </c>
      <c r="S561">
        <v>3057</v>
      </c>
      <c r="T561" t="s">
        <v>16</v>
      </c>
    </row>
    <row r="562" spans="1:20" x14ac:dyDescent="0.25">
      <c r="A562">
        <v>34</v>
      </c>
      <c r="B562" t="str">
        <f t="shared" si="8"/>
        <v>25-34</v>
      </c>
      <c r="C562" t="s">
        <v>21</v>
      </c>
      <c r="F562" t="s">
        <v>17</v>
      </c>
      <c r="G562">
        <v>167</v>
      </c>
      <c r="H562" t="s">
        <v>23</v>
      </c>
      <c r="I562">
        <v>8</v>
      </c>
      <c r="J562">
        <v>5</v>
      </c>
      <c r="K562" t="s">
        <v>19</v>
      </c>
      <c r="L562">
        <v>1</v>
      </c>
      <c r="M562">
        <v>775</v>
      </c>
      <c r="O562">
        <v>2</v>
      </c>
      <c r="P562">
        <v>2</v>
      </c>
      <c r="Q562" t="s">
        <v>28</v>
      </c>
      <c r="R562">
        <v>1</v>
      </c>
      <c r="S562">
        <v>5121</v>
      </c>
      <c r="T562" t="s">
        <v>21</v>
      </c>
    </row>
    <row r="563" spans="1:20" x14ac:dyDescent="0.25">
      <c r="A563">
        <v>52</v>
      </c>
      <c r="B563" t="str">
        <f t="shared" si="8"/>
        <v>45-54</v>
      </c>
      <c r="C563" t="s">
        <v>21</v>
      </c>
      <c r="F563" t="s">
        <v>17</v>
      </c>
      <c r="G563">
        <v>621</v>
      </c>
      <c r="H563" t="s">
        <v>18</v>
      </c>
      <c r="I563">
        <v>3</v>
      </c>
      <c r="J563">
        <v>4</v>
      </c>
      <c r="K563" t="s">
        <v>34</v>
      </c>
      <c r="L563">
        <v>1</v>
      </c>
      <c r="M563">
        <v>776</v>
      </c>
      <c r="O563">
        <v>3</v>
      </c>
      <c r="P563">
        <v>4</v>
      </c>
      <c r="Q563" t="s">
        <v>31</v>
      </c>
      <c r="R563">
        <v>1</v>
      </c>
      <c r="S563">
        <v>16856</v>
      </c>
      <c r="T563" t="s">
        <v>21</v>
      </c>
    </row>
    <row r="564" spans="1:20" x14ac:dyDescent="0.25">
      <c r="A564">
        <v>33</v>
      </c>
      <c r="B564" t="str">
        <f t="shared" si="8"/>
        <v>25-34</v>
      </c>
      <c r="C564" t="s">
        <v>16</v>
      </c>
      <c r="F564" t="s">
        <v>17</v>
      </c>
      <c r="G564">
        <v>527</v>
      </c>
      <c r="H564" t="s">
        <v>23</v>
      </c>
      <c r="I564">
        <v>1</v>
      </c>
      <c r="J564">
        <v>4</v>
      </c>
      <c r="K564" t="s">
        <v>25</v>
      </c>
      <c r="L564">
        <v>1</v>
      </c>
      <c r="M564">
        <v>780</v>
      </c>
      <c r="O564">
        <v>4</v>
      </c>
      <c r="P564">
        <v>1</v>
      </c>
      <c r="Q564" t="s">
        <v>24</v>
      </c>
      <c r="R564">
        <v>4</v>
      </c>
      <c r="S564">
        <v>2686</v>
      </c>
      <c r="T564" t="s">
        <v>16</v>
      </c>
    </row>
    <row r="565" spans="1:20" x14ac:dyDescent="0.25">
      <c r="A565">
        <v>25</v>
      </c>
      <c r="B565" t="str">
        <f t="shared" si="8"/>
        <v>25-34</v>
      </c>
      <c r="C565" t="s">
        <v>21</v>
      </c>
      <c r="F565" t="s">
        <v>17</v>
      </c>
      <c r="G565">
        <v>883</v>
      </c>
      <c r="H565" t="s">
        <v>18</v>
      </c>
      <c r="I565">
        <v>26</v>
      </c>
      <c r="J565">
        <v>1</v>
      </c>
      <c r="K565" t="s">
        <v>27</v>
      </c>
      <c r="L565">
        <v>1</v>
      </c>
      <c r="M565">
        <v>781</v>
      </c>
      <c r="O565">
        <v>3</v>
      </c>
      <c r="P565">
        <v>2</v>
      </c>
      <c r="Q565" t="s">
        <v>20</v>
      </c>
      <c r="R565">
        <v>4</v>
      </c>
      <c r="S565">
        <v>6180</v>
      </c>
      <c r="T565" t="s">
        <v>21</v>
      </c>
    </row>
    <row r="566" spans="1:20" x14ac:dyDescent="0.25">
      <c r="A566">
        <v>45</v>
      </c>
      <c r="B566" t="str">
        <f t="shared" si="8"/>
        <v>45-54</v>
      </c>
      <c r="C566" t="s">
        <v>21</v>
      </c>
      <c r="F566" t="s">
        <v>17</v>
      </c>
      <c r="G566">
        <v>954</v>
      </c>
      <c r="H566" t="s">
        <v>18</v>
      </c>
      <c r="I566">
        <v>2</v>
      </c>
      <c r="J566">
        <v>2</v>
      </c>
      <c r="K566" t="s">
        <v>35</v>
      </c>
      <c r="L566">
        <v>1</v>
      </c>
      <c r="M566">
        <v>783</v>
      </c>
      <c r="O566">
        <v>2</v>
      </c>
      <c r="P566">
        <v>2</v>
      </c>
      <c r="Q566" t="s">
        <v>32</v>
      </c>
      <c r="R566">
        <v>3</v>
      </c>
      <c r="S566">
        <v>6632</v>
      </c>
      <c r="T566" t="s">
        <v>21</v>
      </c>
    </row>
    <row r="567" spans="1:20" x14ac:dyDescent="0.25">
      <c r="A567">
        <v>23</v>
      </c>
      <c r="B567" t="str">
        <f t="shared" si="8"/>
        <v>18-24</v>
      </c>
      <c r="C567" t="s">
        <v>21</v>
      </c>
      <c r="F567" t="s">
        <v>17</v>
      </c>
      <c r="G567">
        <v>310</v>
      </c>
      <c r="H567" t="s">
        <v>23</v>
      </c>
      <c r="I567">
        <v>10</v>
      </c>
      <c r="J567">
        <v>1</v>
      </c>
      <c r="K567" t="s">
        <v>27</v>
      </c>
      <c r="L567">
        <v>1</v>
      </c>
      <c r="M567">
        <v>784</v>
      </c>
      <c r="O567">
        <v>1</v>
      </c>
      <c r="P567">
        <v>1</v>
      </c>
      <c r="Q567" t="s">
        <v>24</v>
      </c>
      <c r="R567">
        <v>3</v>
      </c>
      <c r="S567">
        <v>3505</v>
      </c>
      <c r="T567" t="s">
        <v>21</v>
      </c>
    </row>
    <row r="568" spans="1:20" x14ac:dyDescent="0.25">
      <c r="A568">
        <v>47</v>
      </c>
      <c r="B568" t="str">
        <f t="shared" si="8"/>
        <v>45-54</v>
      </c>
      <c r="C568" t="s">
        <v>16</v>
      </c>
      <c r="F568" t="s">
        <v>22</v>
      </c>
      <c r="G568">
        <v>719</v>
      </c>
      <c r="H568" t="s">
        <v>18</v>
      </c>
      <c r="I568">
        <v>27</v>
      </c>
      <c r="J568">
        <v>2</v>
      </c>
      <c r="K568" t="s">
        <v>19</v>
      </c>
      <c r="L568">
        <v>1</v>
      </c>
      <c r="M568">
        <v>785</v>
      </c>
      <c r="O568">
        <v>2</v>
      </c>
      <c r="P568">
        <v>2</v>
      </c>
      <c r="Q568" t="s">
        <v>20</v>
      </c>
      <c r="R568">
        <v>3</v>
      </c>
      <c r="S568">
        <v>6397</v>
      </c>
      <c r="T568" t="s">
        <v>16</v>
      </c>
    </row>
    <row r="569" spans="1:20" x14ac:dyDescent="0.25">
      <c r="A569">
        <v>34</v>
      </c>
      <c r="B569" t="str">
        <f t="shared" si="8"/>
        <v>25-34</v>
      </c>
      <c r="C569" t="s">
        <v>21</v>
      </c>
      <c r="F569" t="s">
        <v>17</v>
      </c>
      <c r="G569">
        <v>304</v>
      </c>
      <c r="H569" t="s">
        <v>18</v>
      </c>
      <c r="I569">
        <v>2</v>
      </c>
      <c r="J569">
        <v>3</v>
      </c>
      <c r="K569" t="s">
        <v>25</v>
      </c>
      <c r="L569">
        <v>1</v>
      </c>
      <c r="M569">
        <v>786</v>
      </c>
      <c r="O569">
        <v>4</v>
      </c>
      <c r="P569">
        <v>2</v>
      </c>
      <c r="Q569" t="s">
        <v>20</v>
      </c>
      <c r="R569">
        <v>4</v>
      </c>
      <c r="S569">
        <v>6274</v>
      </c>
      <c r="T569" t="s">
        <v>21</v>
      </c>
    </row>
    <row r="570" spans="1:20" x14ac:dyDescent="0.25">
      <c r="A570">
        <v>55</v>
      </c>
      <c r="B570" t="str">
        <f t="shared" si="8"/>
        <v>55+</v>
      </c>
      <c r="C570" t="s">
        <v>16</v>
      </c>
      <c r="F570" t="s">
        <v>17</v>
      </c>
      <c r="G570">
        <v>725</v>
      </c>
      <c r="H570" t="s">
        <v>23</v>
      </c>
      <c r="I570">
        <v>2</v>
      </c>
      <c r="J570">
        <v>3</v>
      </c>
      <c r="K570" t="s">
        <v>27</v>
      </c>
      <c r="L570">
        <v>1</v>
      </c>
      <c r="M570">
        <v>787</v>
      </c>
      <c r="O570">
        <v>4</v>
      </c>
      <c r="P570">
        <v>5</v>
      </c>
      <c r="Q570" t="s">
        <v>31</v>
      </c>
      <c r="R570">
        <v>1</v>
      </c>
      <c r="S570">
        <v>19859</v>
      </c>
      <c r="T570" t="s">
        <v>16</v>
      </c>
    </row>
    <row r="571" spans="1:20" x14ac:dyDescent="0.25">
      <c r="A571">
        <v>36</v>
      </c>
      <c r="B571" t="str">
        <f t="shared" si="8"/>
        <v>35-44</v>
      </c>
      <c r="C571" t="s">
        <v>21</v>
      </c>
      <c r="F571" t="s">
        <v>30</v>
      </c>
      <c r="G571">
        <v>1434</v>
      </c>
      <c r="H571" t="s">
        <v>18</v>
      </c>
      <c r="I571">
        <v>8</v>
      </c>
      <c r="J571">
        <v>4</v>
      </c>
      <c r="K571" t="s">
        <v>19</v>
      </c>
      <c r="L571">
        <v>1</v>
      </c>
      <c r="M571">
        <v>789</v>
      </c>
      <c r="O571">
        <v>1</v>
      </c>
      <c r="P571">
        <v>3</v>
      </c>
      <c r="Q571" t="s">
        <v>20</v>
      </c>
      <c r="R571">
        <v>1</v>
      </c>
      <c r="S571">
        <v>7587</v>
      </c>
      <c r="T571" t="s">
        <v>21</v>
      </c>
    </row>
    <row r="572" spans="1:20" x14ac:dyDescent="0.25">
      <c r="A572">
        <v>52</v>
      </c>
      <c r="B572" t="str">
        <f t="shared" si="8"/>
        <v>45-54</v>
      </c>
      <c r="C572" t="s">
        <v>21</v>
      </c>
      <c r="F572" t="s">
        <v>30</v>
      </c>
      <c r="G572">
        <v>715</v>
      </c>
      <c r="H572" t="s">
        <v>23</v>
      </c>
      <c r="I572">
        <v>19</v>
      </c>
      <c r="J572">
        <v>4</v>
      </c>
      <c r="K572" t="s">
        <v>27</v>
      </c>
      <c r="L572">
        <v>1</v>
      </c>
      <c r="M572">
        <v>791</v>
      </c>
      <c r="O572">
        <v>4</v>
      </c>
      <c r="P572">
        <v>1</v>
      </c>
      <c r="Q572" t="s">
        <v>24</v>
      </c>
      <c r="R572">
        <v>4</v>
      </c>
      <c r="S572">
        <v>4258</v>
      </c>
      <c r="T572" t="s">
        <v>21</v>
      </c>
    </row>
    <row r="573" spans="1:20" x14ac:dyDescent="0.25">
      <c r="A573">
        <v>26</v>
      </c>
      <c r="B573" t="str">
        <f t="shared" si="8"/>
        <v>25-34</v>
      </c>
      <c r="C573" t="s">
        <v>21</v>
      </c>
      <c r="F573" t="s">
        <v>22</v>
      </c>
      <c r="G573">
        <v>575</v>
      </c>
      <c r="H573" t="s">
        <v>23</v>
      </c>
      <c r="I573">
        <v>1</v>
      </c>
      <c r="J573">
        <v>2</v>
      </c>
      <c r="K573" t="s">
        <v>19</v>
      </c>
      <c r="L573">
        <v>1</v>
      </c>
      <c r="M573">
        <v>792</v>
      </c>
      <c r="O573">
        <v>1</v>
      </c>
      <c r="P573">
        <v>1</v>
      </c>
      <c r="Q573" t="s">
        <v>26</v>
      </c>
      <c r="R573">
        <v>4</v>
      </c>
      <c r="S573">
        <v>4364</v>
      </c>
      <c r="T573" t="s">
        <v>21</v>
      </c>
    </row>
    <row r="574" spans="1:20" x14ac:dyDescent="0.25">
      <c r="A574">
        <v>29</v>
      </c>
      <c r="B574" t="str">
        <f t="shared" si="8"/>
        <v>25-34</v>
      </c>
      <c r="C574" t="s">
        <v>21</v>
      </c>
      <c r="F574" t="s">
        <v>17</v>
      </c>
      <c r="G574">
        <v>657</v>
      </c>
      <c r="H574" t="s">
        <v>23</v>
      </c>
      <c r="I574">
        <v>27</v>
      </c>
      <c r="J574">
        <v>3</v>
      </c>
      <c r="K574" t="s">
        <v>27</v>
      </c>
      <c r="L574">
        <v>1</v>
      </c>
      <c r="M574">
        <v>793</v>
      </c>
      <c r="O574">
        <v>2</v>
      </c>
      <c r="P574">
        <v>2</v>
      </c>
      <c r="Q574" t="s">
        <v>29</v>
      </c>
      <c r="R574">
        <v>3</v>
      </c>
      <c r="S574">
        <v>4335</v>
      </c>
      <c r="T574" t="s">
        <v>21</v>
      </c>
    </row>
    <row r="575" spans="1:20" x14ac:dyDescent="0.25">
      <c r="A575">
        <v>26</v>
      </c>
      <c r="B575" t="str">
        <f t="shared" si="8"/>
        <v>25-34</v>
      </c>
      <c r="C575" t="s">
        <v>16</v>
      </c>
      <c r="F575" t="s">
        <v>17</v>
      </c>
      <c r="G575">
        <v>1146</v>
      </c>
      <c r="H575" t="s">
        <v>18</v>
      </c>
      <c r="I575">
        <v>8</v>
      </c>
      <c r="J575">
        <v>3</v>
      </c>
      <c r="K575" t="s">
        <v>35</v>
      </c>
      <c r="L575">
        <v>1</v>
      </c>
      <c r="M575">
        <v>796</v>
      </c>
      <c r="O575">
        <v>4</v>
      </c>
      <c r="P575">
        <v>2</v>
      </c>
      <c r="Q575" t="s">
        <v>20</v>
      </c>
      <c r="R575">
        <v>1</v>
      </c>
      <c r="S575">
        <v>5326</v>
      </c>
      <c r="T575" t="s">
        <v>21</v>
      </c>
    </row>
    <row r="576" spans="1:20" x14ac:dyDescent="0.25">
      <c r="A576">
        <v>34</v>
      </c>
      <c r="B576" t="str">
        <f t="shared" si="8"/>
        <v>25-34</v>
      </c>
      <c r="C576" t="s">
        <v>21</v>
      </c>
      <c r="F576" t="s">
        <v>17</v>
      </c>
      <c r="G576">
        <v>182</v>
      </c>
      <c r="H576" t="s">
        <v>23</v>
      </c>
      <c r="I576">
        <v>1</v>
      </c>
      <c r="J576">
        <v>4</v>
      </c>
      <c r="K576" t="s">
        <v>19</v>
      </c>
      <c r="L576">
        <v>1</v>
      </c>
      <c r="M576">
        <v>797</v>
      </c>
      <c r="O576">
        <v>2</v>
      </c>
      <c r="P576">
        <v>1</v>
      </c>
      <c r="Q576" t="s">
        <v>24</v>
      </c>
      <c r="R576">
        <v>4</v>
      </c>
      <c r="S576">
        <v>3280</v>
      </c>
      <c r="T576" t="s">
        <v>21</v>
      </c>
    </row>
    <row r="577" spans="1:20" x14ac:dyDescent="0.25">
      <c r="A577">
        <v>54</v>
      </c>
      <c r="B577" t="str">
        <f t="shared" si="8"/>
        <v>45-54</v>
      </c>
      <c r="C577" t="s">
        <v>21</v>
      </c>
      <c r="F577" t="s">
        <v>17</v>
      </c>
      <c r="G577">
        <v>376</v>
      </c>
      <c r="H577" t="s">
        <v>23</v>
      </c>
      <c r="I577">
        <v>19</v>
      </c>
      <c r="J577">
        <v>4</v>
      </c>
      <c r="K577" t="s">
        <v>27</v>
      </c>
      <c r="L577">
        <v>1</v>
      </c>
      <c r="M577">
        <v>799</v>
      </c>
      <c r="O577">
        <v>4</v>
      </c>
      <c r="P577">
        <v>2</v>
      </c>
      <c r="Q577" t="s">
        <v>28</v>
      </c>
      <c r="R577">
        <v>1</v>
      </c>
      <c r="S577">
        <v>5485</v>
      </c>
      <c r="T577" t="s">
        <v>16</v>
      </c>
    </row>
    <row r="578" spans="1:20" x14ac:dyDescent="0.25">
      <c r="A578">
        <v>27</v>
      </c>
      <c r="B578" t="str">
        <f t="shared" si="8"/>
        <v>25-34</v>
      </c>
      <c r="C578" t="s">
        <v>21</v>
      </c>
      <c r="F578" t="s">
        <v>22</v>
      </c>
      <c r="G578">
        <v>829</v>
      </c>
      <c r="H578" t="s">
        <v>18</v>
      </c>
      <c r="I578">
        <v>8</v>
      </c>
      <c r="J578">
        <v>1</v>
      </c>
      <c r="K578" t="s">
        <v>34</v>
      </c>
      <c r="L578">
        <v>1</v>
      </c>
      <c r="M578">
        <v>800</v>
      </c>
      <c r="O578">
        <v>3</v>
      </c>
      <c r="P578">
        <v>2</v>
      </c>
      <c r="Q578" t="s">
        <v>20</v>
      </c>
      <c r="R578">
        <v>4</v>
      </c>
      <c r="S578">
        <v>4342</v>
      </c>
      <c r="T578" t="s">
        <v>21</v>
      </c>
    </row>
    <row r="579" spans="1:20" x14ac:dyDescent="0.25">
      <c r="A579">
        <v>37</v>
      </c>
      <c r="B579" t="str">
        <f t="shared" ref="B579:B642" si="9">IF(A579&lt;=24,"18-24",IF(A579&lt;=34,"25-34",IF(A579&lt;=44,"35-44",IF(A579&lt;=54,"45-54","55+"))))</f>
        <v>35-44</v>
      </c>
      <c r="C579" t="s">
        <v>21</v>
      </c>
      <c r="F579" t="s">
        <v>17</v>
      </c>
      <c r="G579">
        <v>571</v>
      </c>
      <c r="H579" t="s">
        <v>23</v>
      </c>
      <c r="I579">
        <v>10</v>
      </c>
      <c r="J579">
        <v>1</v>
      </c>
      <c r="K579" t="s">
        <v>19</v>
      </c>
      <c r="L579">
        <v>1</v>
      </c>
      <c r="M579">
        <v>802</v>
      </c>
      <c r="O579">
        <v>4</v>
      </c>
      <c r="P579">
        <v>1</v>
      </c>
      <c r="Q579" t="s">
        <v>24</v>
      </c>
      <c r="R579">
        <v>1</v>
      </c>
      <c r="S579">
        <v>2782</v>
      </c>
      <c r="T579" t="s">
        <v>16</v>
      </c>
    </row>
    <row r="580" spans="1:20" x14ac:dyDescent="0.25">
      <c r="A580">
        <v>38</v>
      </c>
      <c r="B580" t="str">
        <f t="shared" si="9"/>
        <v>35-44</v>
      </c>
      <c r="C580" t="s">
        <v>21</v>
      </c>
      <c r="F580" t="s">
        <v>22</v>
      </c>
      <c r="G580">
        <v>240</v>
      </c>
      <c r="H580" t="s">
        <v>23</v>
      </c>
      <c r="I580">
        <v>2</v>
      </c>
      <c r="J580">
        <v>4</v>
      </c>
      <c r="K580" t="s">
        <v>19</v>
      </c>
      <c r="L580">
        <v>1</v>
      </c>
      <c r="M580">
        <v>803</v>
      </c>
      <c r="O580">
        <v>1</v>
      </c>
      <c r="P580">
        <v>2</v>
      </c>
      <c r="Q580" t="s">
        <v>28</v>
      </c>
      <c r="R580">
        <v>1</v>
      </c>
      <c r="S580">
        <v>5980</v>
      </c>
      <c r="T580" t="s">
        <v>16</v>
      </c>
    </row>
    <row r="581" spans="1:20" x14ac:dyDescent="0.25">
      <c r="A581">
        <v>34</v>
      </c>
      <c r="B581" t="str">
        <f t="shared" si="9"/>
        <v>25-34</v>
      </c>
      <c r="C581" t="s">
        <v>21</v>
      </c>
      <c r="F581" t="s">
        <v>17</v>
      </c>
      <c r="G581">
        <v>121</v>
      </c>
      <c r="H581" t="s">
        <v>23</v>
      </c>
      <c r="I581">
        <v>2</v>
      </c>
      <c r="J581">
        <v>4</v>
      </c>
      <c r="K581" t="s">
        <v>27</v>
      </c>
      <c r="L581">
        <v>1</v>
      </c>
      <c r="M581">
        <v>804</v>
      </c>
      <c r="O581">
        <v>3</v>
      </c>
      <c r="P581">
        <v>1</v>
      </c>
      <c r="Q581" t="s">
        <v>24</v>
      </c>
      <c r="R581">
        <v>1</v>
      </c>
      <c r="S581">
        <v>4381</v>
      </c>
      <c r="T581" t="s">
        <v>21</v>
      </c>
    </row>
    <row r="582" spans="1:20" x14ac:dyDescent="0.25">
      <c r="A582">
        <v>35</v>
      </c>
      <c r="B582" t="str">
        <f t="shared" si="9"/>
        <v>35-44</v>
      </c>
      <c r="C582" t="s">
        <v>21</v>
      </c>
      <c r="F582" t="s">
        <v>17</v>
      </c>
      <c r="G582">
        <v>384</v>
      </c>
      <c r="H582" t="s">
        <v>18</v>
      </c>
      <c r="I582">
        <v>8</v>
      </c>
      <c r="J582">
        <v>4</v>
      </c>
      <c r="K582" t="s">
        <v>19</v>
      </c>
      <c r="L582">
        <v>1</v>
      </c>
      <c r="M582">
        <v>805</v>
      </c>
      <c r="O582">
        <v>1</v>
      </c>
      <c r="P582">
        <v>1</v>
      </c>
      <c r="Q582" t="s">
        <v>32</v>
      </c>
      <c r="R582">
        <v>4</v>
      </c>
      <c r="S582">
        <v>2572</v>
      </c>
      <c r="T582" t="s">
        <v>21</v>
      </c>
    </row>
    <row r="583" spans="1:20" x14ac:dyDescent="0.25">
      <c r="A583">
        <v>30</v>
      </c>
      <c r="B583" t="str">
        <f t="shared" si="9"/>
        <v>25-34</v>
      </c>
      <c r="C583" t="s">
        <v>21</v>
      </c>
      <c r="F583" t="s">
        <v>17</v>
      </c>
      <c r="G583">
        <v>921</v>
      </c>
      <c r="H583" t="s">
        <v>23</v>
      </c>
      <c r="I583">
        <v>1</v>
      </c>
      <c r="J583">
        <v>3</v>
      </c>
      <c r="K583" t="s">
        <v>19</v>
      </c>
      <c r="L583">
        <v>1</v>
      </c>
      <c r="M583">
        <v>806</v>
      </c>
      <c r="O583">
        <v>4</v>
      </c>
      <c r="P583">
        <v>1</v>
      </c>
      <c r="Q583" t="s">
        <v>26</v>
      </c>
      <c r="R583">
        <v>3</v>
      </c>
      <c r="S583">
        <v>3833</v>
      </c>
      <c r="T583" t="s">
        <v>21</v>
      </c>
    </row>
    <row r="584" spans="1:20" x14ac:dyDescent="0.25">
      <c r="A584">
        <v>40</v>
      </c>
      <c r="B584" t="str">
        <f t="shared" si="9"/>
        <v>35-44</v>
      </c>
      <c r="C584" t="s">
        <v>21</v>
      </c>
      <c r="F584" t="s">
        <v>22</v>
      </c>
      <c r="G584">
        <v>791</v>
      </c>
      <c r="H584" t="s">
        <v>23</v>
      </c>
      <c r="I584">
        <v>2</v>
      </c>
      <c r="J584">
        <v>2</v>
      </c>
      <c r="K584" t="s">
        <v>27</v>
      </c>
      <c r="L584">
        <v>1</v>
      </c>
      <c r="M584">
        <v>807</v>
      </c>
      <c r="O584">
        <v>3</v>
      </c>
      <c r="P584">
        <v>2</v>
      </c>
      <c r="Q584" t="s">
        <v>29</v>
      </c>
      <c r="R584">
        <v>2</v>
      </c>
      <c r="S584">
        <v>4244</v>
      </c>
      <c r="T584" t="s">
        <v>21</v>
      </c>
    </row>
    <row r="585" spans="1:20" x14ac:dyDescent="0.25">
      <c r="A585">
        <v>34</v>
      </c>
      <c r="B585" t="str">
        <f t="shared" si="9"/>
        <v>25-34</v>
      </c>
      <c r="C585" t="s">
        <v>21</v>
      </c>
      <c r="F585" t="s">
        <v>17</v>
      </c>
      <c r="G585">
        <v>1111</v>
      </c>
      <c r="H585" t="s">
        <v>18</v>
      </c>
      <c r="I585">
        <v>8</v>
      </c>
      <c r="J585">
        <v>2</v>
      </c>
      <c r="K585" t="s">
        <v>19</v>
      </c>
      <c r="L585">
        <v>1</v>
      </c>
      <c r="M585">
        <v>808</v>
      </c>
      <c r="O585">
        <v>3</v>
      </c>
      <c r="P585">
        <v>2</v>
      </c>
      <c r="Q585" t="s">
        <v>20</v>
      </c>
      <c r="R585">
        <v>1</v>
      </c>
      <c r="S585">
        <v>6500</v>
      </c>
      <c r="T585" t="s">
        <v>21</v>
      </c>
    </row>
    <row r="586" spans="1:20" x14ac:dyDescent="0.25">
      <c r="A586">
        <v>42</v>
      </c>
      <c r="B586" t="str">
        <f t="shared" si="9"/>
        <v>35-44</v>
      </c>
      <c r="C586" t="s">
        <v>21</v>
      </c>
      <c r="F586" t="s">
        <v>22</v>
      </c>
      <c r="G586">
        <v>570</v>
      </c>
      <c r="H586" t="s">
        <v>23</v>
      </c>
      <c r="I586">
        <v>8</v>
      </c>
      <c r="J586">
        <v>3</v>
      </c>
      <c r="K586" t="s">
        <v>19</v>
      </c>
      <c r="L586">
        <v>1</v>
      </c>
      <c r="M586">
        <v>809</v>
      </c>
      <c r="O586">
        <v>2</v>
      </c>
      <c r="P586">
        <v>5</v>
      </c>
      <c r="Q586" t="s">
        <v>31</v>
      </c>
      <c r="R586">
        <v>4</v>
      </c>
      <c r="S586">
        <v>18430</v>
      </c>
      <c r="T586" t="s">
        <v>21</v>
      </c>
    </row>
    <row r="587" spans="1:20" x14ac:dyDescent="0.25">
      <c r="A587">
        <v>23</v>
      </c>
      <c r="B587" t="str">
        <f t="shared" si="9"/>
        <v>18-24</v>
      </c>
      <c r="C587" t="s">
        <v>16</v>
      </c>
      <c r="F587" t="s">
        <v>17</v>
      </c>
      <c r="G587">
        <v>1243</v>
      </c>
      <c r="H587" t="s">
        <v>23</v>
      </c>
      <c r="I587">
        <v>6</v>
      </c>
      <c r="J587">
        <v>3</v>
      </c>
      <c r="K587" t="s">
        <v>19</v>
      </c>
      <c r="L587">
        <v>1</v>
      </c>
      <c r="M587">
        <v>811</v>
      </c>
      <c r="O587">
        <v>3</v>
      </c>
      <c r="P587">
        <v>1</v>
      </c>
      <c r="Q587" t="s">
        <v>26</v>
      </c>
      <c r="R587">
        <v>1</v>
      </c>
      <c r="S587">
        <v>1601</v>
      </c>
      <c r="T587" t="s">
        <v>16</v>
      </c>
    </row>
    <row r="588" spans="1:20" x14ac:dyDescent="0.25">
      <c r="A588">
        <v>24</v>
      </c>
      <c r="B588" t="str">
        <f t="shared" si="9"/>
        <v>18-24</v>
      </c>
      <c r="C588" t="s">
        <v>21</v>
      </c>
      <c r="F588" t="s">
        <v>30</v>
      </c>
      <c r="G588">
        <v>1092</v>
      </c>
      <c r="H588" t="s">
        <v>23</v>
      </c>
      <c r="I588">
        <v>9</v>
      </c>
      <c r="J588">
        <v>3</v>
      </c>
      <c r="K588" t="s">
        <v>19</v>
      </c>
      <c r="L588">
        <v>1</v>
      </c>
      <c r="M588">
        <v>812</v>
      </c>
      <c r="O588">
        <v>3</v>
      </c>
      <c r="P588">
        <v>1</v>
      </c>
      <c r="Q588" t="s">
        <v>26</v>
      </c>
      <c r="R588">
        <v>2</v>
      </c>
      <c r="S588">
        <v>2694</v>
      </c>
      <c r="T588" t="s">
        <v>21</v>
      </c>
    </row>
    <row r="589" spans="1:20" x14ac:dyDescent="0.25">
      <c r="A589">
        <v>52</v>
      </c>
      <c r="B589" t="str">
        <f t="shared" si="9"/>
        <v>45-54</v>
      </c>
      <c r="C589" t="s">
        <v>21</v>
      </c>
      <c r="F589" t="s">
        <v>17</v>
      </c>
      <c r="G589">
        <v>1325</v>
      </c>
      <c r="H589" t="s">
        <v>23</v>
      </c>
      <c r="I589">
        <v>11</v>
      </c>
      <c r="J589">
        <v>4</v>
      </c>
      <c r="K589" t="s">
        <v>19</v>
      </c>
      <c r="L589">
        <v>1</v>
      </c>
      <c r="M589">
        <v>813</v>
      </c>
      <c r="O589">
        <v>4</v>
      </c>
      <c r="P589">
        <v>2</v>
      </c>
      <c r="Q589" t="s">
        <v>26</v>
      </c>
      <c r="R589">
        <v>3</v>
      </c>
      <c r="S589">
        <v>3149</v>
      </c>
      <c r="T589" t="s">
        <v>21</v>
      </c>
    </row>
    <row r="590" spans="1:20" x14ac:dyDescent="0.25">
      <c r="A590">
        <v>50</v>
      </c>
      <c r="B590" t="str">
        <f t="shared" si="9"/>
        <v>45-54</v>
      </c>
      <c r="C590" t="s">
        <v>21</v>
      </c>
      <c r="F590" t="s">
        <v>17</v>
      </c>
      <c r="G590">
        <v>691</v>
      </c>
      <c r="H590" t="s">
        <v>23</v>
      </c>
      <c r="I590">
        <v>2</v>
      </c>
      <c r="J590">
        <v>3</v>
      </c>
      <c r="K590" t="s">
        <v>27</v>
      </c>
      <c r="L590">
        <v>1</v>
      </c>
      <c r="M590">
        <v>815</v>
      </c>
      <c r="O590">
        <v>3</v>
      </c>
      <c r="P590">
        <v>4</v>
      </c>
      <c r="Q590" t="s">
        <v>33</v>
      </c>
      <c r="R590">
        <v>3</v>
      </c>
      <c r="S590">
        <v>17639</v>
      </c>
      <c r="T590" t="s">
        <v>21</v>
      </c>
    </row>
    <row r="591" spans="1:20" x14ac:dyDescent="0.25">
      <c r="A591">
        <v>29</v>
      </c>
      <c r="B591" t="str">
        <f t="shared" si="9"/>
        <v>25-34</v>
      </c>
      <c r="C591" t="s">
        <v>16</v>
      </c>
      <c r="F591" t="s">
        <v>17</v>
      </c>
      <c r="G591">
        <v>805</v>
      </c>
      <c r="H591" t="s">
        <v>23</v>
      </c>
      <c r="I591">
        <v>1</v>
      </c>
      <c r="J591">
        <v>2</v>
      </c>
      <c r="K591" t="s">
        <v>19</v>
      </c>
      <c r="L591">
        <v>1</v>
      </c>
      <c r="M591">
        <v>816</v>
      </c>
      <c r="O591">
        <v>2</v>
      </c>
      <c r="P591">
        <v>1</v>
      </c>
      <c r="Q591" t="s">
        <v>26</v>
      </c>
      <c r="R591">
        <v>1</v>
      </c>
      <c r="S591">
        <v>2319</v>
      </c>
      <c r="T591" t="s">
        <v>16</v>
      </c>
    </row>
    <row r="592" spans="1:20" x14ac:dyDescent="0.25">
      <c r="A592">
        <v>33</v>
      </c>
      <c r="B592" t="str">
        <f t="shared" si="9"/>
        <v>25-34</v>
      </c>
      <c r="C592" t="s">
        <v>21</v>
      </c>
      <c r="F592" t="s">
        <v>17</v>
      </c>
      <c r="G592">
        <v>213</v>
      </c>
      <c r="H592" t="s">
        <v>23</v>
      </c>
      <c r="I592">
        <v>7</v>
      </c>
      <c r="J592">
        <v>3</v>
      </c>
      <c r="K592" t="s">
        <v>27</v>
      </c>
      <c r="L592">
        <v>1</v>
      </c>
      <c r="M592">
        <v>817</v>
      </c>
      <c r="O592">
        <v>3</v>
      </c>
      <c r="P592">
        <v>3</v>
      </c>
      <c r="Q592" t="s">
        <v>33</v>
      </c>
      <c r="R592">
        <v>3</v>
      </c>
      <c r="S592">
        <v>11691</v>
      </c>
      <c r="T592" t="s">
        <v>21</v>
      </c>
    </row>
    <row r="593" spans="1:20" x14ac:dyDescent="0.25">
      <c r="A593">
        <v>33</v>
      </c>
      <c r="B593" t="str">
        <f t="shared" si="9"/>
        <v>25-34</v>
      </c>
      <c r="C593" t="s">
        <v>16</v>
      </c>
      <c r="F593" t="s">
        <v>17</v>
      </c>
      <c r="G593">
        <v>118</v>
      </c>
      <c r="H593" t="s">
        <v>18</v>
      </c>
      <c r="I593">
        <v>16</v>
      </c>
      <c r="J593">
        <v>3</v>
      </c>
      <c r="K593" t="s">
        <v>34</v>
      </c>
      <c r="L593">
        <v>1</v>
      </c>
      <c r="M593">
        <v>819</v>
      </c>
      <c r="O593">
        <v>1</v>
      </c>
      <c r="P593">
        <v>2</v>
      </c>
      <c r="Q593" t="s">
        <v>20</v>
      </c>
      <c r="R593">
        <v>1</v>
      </c>
      <c r="S593">
        <v>5324</v>
      </c>
      <c r="T593" t="s">
        <v>21</v>
      </c>
    </row>
    <row r="594" spans="1:20" x14ac:dyDescent="0.25">
      <c r="A594">
        <v>47</v>
      </c>
      <c r="B594" t="str">
        <f t="shared" si="9"/>
        <v>45-54</v>
      </c>
      <c r="C594" t="s">
        <v>21</v>
      </c>
      <c r="F594" t="s">
        <v>17</v>
      </c>
      <c r="G594">
        <v>202</v>
      </c>
      <c r="H594" t="s">
        <v>23</v>
      </c>
      <c r="I594">
        <v>2</v>
      </c>
      <c r="J594">
        <v>2</v>
      </c>
      <c r="K594" t="s">
        <v>25</v>
      </c>
      <c r="L594">
        <v>1</v>
      </c>
      <c r="M594">
        <v>820</v>
      </c>
      <c r="O594">
        <v>3</v>
      </c>
      <c r="P594">
        <v>4</v>
      </c>
      <c r="Q594" t="s">
        <v>31</v>
      </c>
      <c r="R594">
        <v>4</v>
      </c>
      <c r="S594">
        <v>16752</v>
      </c>
      <c r="T594" t="s">
        <v>16</v>
      </c>
    </row>
    <row r="595" spans="1:20" x14ac:dyDescent="0.25">
      <c r="A595">
        <v>36</v>
      </c>
      <c r="B595" t="str">
        <f t="shared" si="9"/>
        <v>35-44</v>
      </c>
      <c r="C595" t="s">
        <v>21</v>
      </c>
      <c r="F595" t="s">
        <v>17</v>
      </c>
      <c r="G595">
        <v>676</v>
      </c>
      <c r="H595" t="s">
        <v>23</v>
      </c>
      <c r="I595">
        <v>1</v>
      </c>
      <c r="J595">
        <v>3</v>
      </c>
      <c r="K595" t="s">
        <v>25</v>
      </c>
      <c r="L595">
        <v>1</v>
      </c>
      <c r="M595">
        <v>823</v>
      </c>
      <c r="O595">
        <v>3</v>
      </c>
      <c r="P595">
        <v>2</v>
      </c>
      <c r="Q595" t="s">
        <v>28</v>
      </c>
      <c r="R595">
        <v>2</v>
      </c>
      <c r="S595">
        <v>5228</v>
      </c>
      <c r="T595" t="s">
        <v>21</v>
      </c>
    </row>
    <row r="596" spans="1:20" x14ac:dyDescent="0.25">
      <c r="A596">
        <v>29</v>
      </c>
      <c r="B596" t="str">
        <f t="shared" si="9"/>
        <v>25-34</v>
      </c>
      <c r="C596" t="s">
        <v>21</v>
      </c>
      <c r="F596" t="s">
        <v>17</v>
      </c>
      <c r="G596">
        <v>1252</v>
      </c>
      <c r="H596" t="s">
        <v>23</v>
      </c>
      <c r="I596">
        <v>23</v>
      </c>
      <c r="J596">
        <v>2</v>
      </c>
      <c r="K596" t="s">
        <v>19</v>
      </c>
      <c r="L596">
        <v>1</v>
      </c>
      <c r="M596">
        <v>824</v>
      </c>
      <c r="O596">
        <v>3</v>
      </c>
      <c r="P596">
        <v>1</v>
      </c>
      <c r="Q596" t="s">
        <v>24</v>
      </c>
      <c r="R596">
        <v>3</v>
      </c>
      <c r="S596">
        <v>2700</v>
      </c>
      <c r="T596" t="s">
        <v>21</v>
      </c>
    </row>
    <row r="597" spans="1:20" x14ac:dyDescent="0.25">
      <c r="A597">
        <v>58</v>
      </c>
      <c r="B597" t="str">
        <f t="shared" si="9"/>
        <v>55+</v>
      </c>
      <c r="C597" t="s">
        <v>16</v>
      </c>
      <c r="F597" t="s">
        <v>17</v>
      </c>
      <c r="G597">
        <v>286</v>
      </c>
      <c r="H597" t="s">
        <v>23</v>
      </c>
      <c r="I597">
        <v>2</v>
      </c>
      <c r="J597">
        <v>4</v>
      </c>
      <c r="K597" t="s">
        <v>19</v>
      </c>
      <c r="L597">
        <v>1</v>
      </c>
      <c r="M597">
        <v>825</v>
      </c>
      <c r="O597">
        <v>4</v>
      </c>
      <c r="P597">
        <v>5</v>
      </c>
      <c r="Q597" t="s">
        <v>33</v>
      </c>
      <c r="R597">
        <v>2</v>
      </c>
      <c r="S597">
        <v>19246</v>
      </c>
      <c r="T597" t="s">
        <v>16</v>
      </c>
    </row>
    <row r="598" spans="1:20" x14ac:dyDescent="0.25">
      <c r="A598">
        <v>35</v>
      </c>
      <c r="B598" t="str">
        <f t="shared" si="9"/>
        <v>35-44</v>
      </c>
      <c r="C598" t="s">
        <v>21</v>
      </c>
      <c r="F598" t="s">
        <v>17</v>
      </c>
      <c r="G598">
        <v>1258</v>
      </c>
      <c r="H598" t="s">
        <v>23</v>
      </c>
      <c r="I598">
        <v>1</v>
      </c>
      <c r="J598">
        <v>4</v>
      </c>
      <c r="K598" t="s">
        <v>19</v>
      </c>
      <c r="L598">
        <v>1</v>
      </c>
      <c r="M598">
        <v>826</v>
      </c>
      <c r="O598">
        <v>4</v>
      </c>
      <c r="P598">
        <v>1</v>
      </c>
      <c r="Q598" t="s">
        <v>24</v>
      </c>
      <c r="R598">
        <v>3</v>
      </c>
      <c r="S598">
        <v>2506</v>
      </c>
      <c r="T598" t="s">
        <v>21</v>
      </c>
    </row>
    <row r="599" spans="1:20" x14ac:dyDescent="0.25">
      <c r="A599">
        <v>42</v>
      </c>
      <c r="B599" t="str">
        <f t="shared" si="9"/>
        <v>35-44</v>
      </c>
      <c r="C599" t="s">
        <v>21</v>
      </c>
      <c r="F599" t="s">
        <v>17</v>
      </c>
      <c r="G599">
        <v>932</v>
      </c>
      <c r="H599" t="s">
        <v>23</v>
      </c>
      <c r="I599">
        <v>1</v>
      </c>
      <c r="J599">
        <v>2</v>
      </c>
      <c r="K599" t="s">
        <v>19</v>
      </c>
      <c r="L599">
        <v>1</v>
      </c>
      <c r="M599">
        <v>827</v>
      </c>
      <c r="O599">
        <v>4</v>
      </c>
      <c r="P599">
        <v>2</v>
      </c>
      <c r="Q599" t="s">
        <v>28</v>
      </c>
      <c r="R599">
        <v>4</v>
      </c>
      <c r="S599">
        <v>6062</v>
      </c>
      <c r="T599" t="s">
        <v>16</v>
      </c>
    </row>
    <row r="600" spans="1:20" x14ac:dyDescent="0.25">
      <c r="A600">
        <v>28</v>
      </c>
      <c r="B600" t="str">
        <f t="shared" si="9"/>
        <v>25-34</v>
      </c>
      <c r="C600" t="s">
        <v>16</v>
      </c>
      <c r="F600" t="s">
        <v>17</v>
      </c>
      <c r="G600">
        <v>890</v>
      </c>
      <c r="H600" t="s">
        <v>23</v>
      </c>
      <c r="I600">
        <v>2</v>
      </c>
      <c r="J600">
        <v>4</v>
      </c>
      <c r="K600" t="s">
        <v>27</v>
      </c>
      <c r="L600">
        <v>1</v>
      </c>
      <c r="M600">
        <v>828</v>
      </c>
      <c r="O600">
        <v>3</v>
      </c>
      <c r="P600">
        <v>1</v>
      </c>
      <c r="Q600" t="s">
        <v>24</v>
      </c>
      <c r="R600">
        <v>3</v>
      </c>
      <c r="S600">
        <v>4382</v>
      </c>
      <c r="T600" t="s">
        <v>21</v>
      </c>
    </row>
    <row r="601" spans="1:20" x14ac:dyDescent="0.25">
      <c r="A601">
        <v>36</v>
      </c>
      <c r="B601" t="str">
        <f t="shared" si="9"/>
        <v>35-44</v>
      </c>
      <c r="C601" t="s">
        <v>21</v>
      </c>
      <c r="F601" t="s">
        <v>17</v>
      </c>
      <c r="G601">
        <v>1041</v>
      </c>
      <c r="H601" t="s">
        <v>36</v>
      </c>
      <c r="I601">
        <v>13</v>
      </c>
      <c r="J601">
        <v>3</v>
      </c>
      <c r="K601" t="s">
        <v>36</v>
      </c>
      <c r="L601">
        <v>1</v>
      </c>
      <c r="M601">
        <v>829</v>
      </c>
      <c r="O601">
        <v>3</v>
      </c>
      <c r="P601">
        <v>1</v>
      </c>
      <c r="Q601" t="s">
        <v>36</v>
      </c>
      <c r="R601">
        <v>2</v>
      </c>
      <c r="S601">
        <v>2143</v>
      </c>
      <c r="T601" t="s">
        <v>21</v>
      </c>
    </row>
    <row r="602" spans="1:20" x14ac:dyDescent="0.25">
      <c r="A602">
        <v>32</v>
      </c>
      <c r="B602" t="str">
        <f t="shared" si="9"/>
        <v>25-34</v>
      </c>
      <c r="C602" t="s">
        <v>21</v>
      </c>
      <c r="F602" t="s">
        <v>17</v>
      </c>
      <c r="G602">
        <v>859</v>
      </c>
      <c r="H602" t="s">
        <v>23</v>
      </c>
      <c r="I602">
        <v>4</v>
      </c>
      <c r="J602">
        <v>3</v>
      </c>
      <c r="K602" t="s">
        <v>19</v>
      </c>
      <c r="L602">
        <v>1</v>
      </c>
      <c r="M602">
        <v>830</v>
      </c>
      <c r="O602">
        <v>3</v>
      </c>
      <c r="P602">
        <v>2</v>
      </c>
      <c r="Q602" t="s">
        <v>28</v>
      </c>
      <c r="R602">
        <v>3</v>
      </c>
      <c r="S602">
        <v>6162</v>
      </c>
      <c r="T602" t="s">
        <v>21</v>
      </c>
    </row>
    <row r="603" spans="1:20" x14ac:dyDescent="0.25">
      <c r="A603">
        <v>40</v>
      </c>
      <c r="B603" t="str">
        <f t="shared" si="9"/>
        <v>35-44</v>
      </c>
      <c r="C603" t="s">
        <v>21</v>
      </c>
      <c r="F603" t="s">
        <v>22</v>
      </c>
      <c r="G603">
        <v>720</v>
      </c>
      <c r="H603" t="s">
        <v>23</v>
      </c>
      <c r="I603">
        <v>16</v>
      </c>
      <c r="J603">
        <v>4</v>
      </c>
      <c r="K603" t="s">
        <v>27</v>
      </c>
      <c r="L603">
        <v>1</v>
      </c>
      <c r="M603">
        <v>832</v>
      </c>
      <c r="O603">
        <v>1</v>
      </c>
      <c r="P603">
        <v>2</v>
      </c>
      <c r="Q603" t="s">
        <v>26</v>
      </c>
      <c r="R603">
        <v>3</v>
      </c>
      <c r="S603">
        <v>5094</v>
      </c>
      <c r="T603" t="s">
        <v>21</v>
      </c>
    </row>
    <row r="604" spans="1:20" x14ac:dyDescent="0.25">
      <c r="A604">
        <v>30</v>
      </c>
      <c r="B604" t="str">
        <f t="shared" si="9"/>
        <v>25-34</v>
      </c>
      <c r="C604" t="s">
        <v>21</v>
      </c>
      <c r="F604" t="s">
        <v>17</v>
      </c>
      <c r="G604">
        <v>946</v>
      </c>
      <c r="H604" t="s">
        <v>23</v>
      </c>
      <c r="I604">
        <v>2</v>
      </c>
      <c r="J604">
        <v>3</v>
      </c>
      <c r="K604" t="s">
        <v>27</v>
      </c>
      <c r="L604">
        <v>1</v>
      </c>
      <c r="M604">
        <v>833</v>
      </c>
      <c r="O604">
        <v>3</v>
      </c>
      <c r="P604">
        <v>2</v>
      </c>
      <c r="Q604" t="s">
        <v>28</v>
      </c>
      <c r="R604">
        <v>4</v>
      </c>
      <c r="S604">
        <v>6877</v>
      </c>
      <c r="T604" t="s">
        <v>16</v>
      </c>
    </row>
    <row r="605" spans="1:20" x14ac:dyDescent="0.25">
      <c r="A605">
        <v>45</v>
      </c>
      <c r="B605" t="str">
        <f t="shared" si="9"/>
        <v>45-54</v>
      </c>
      <c r="C605" t="s">
        <v>21</v>
      </c>
      <c r="F605" t="s">
        <v>17</v>
      </c>
      <c r="G605">
        <v>252</v>
      </c>
      <c r="H605" t="s">
        <v>23</v>
      </c>
      <c r="I605">
        <v>2</v>
      </c>
      <c r="J605">
        <v>3</v>
      </c>
      <c r="K605" t="s">
        <v>19</v>
      </c>
      <c r="L605">
        <v>1</v>
      </c>
      <c r="M605">
        <v>834</v>
      </c>
      <c r="O605">
        <v>2</v>
      </c>
      <c r="P605">
        <v>1</v>
      </c>
      <c r="Q605" t="s">
        <v>24</v>
      </c>
      <c r="R605">
        <v>3</v>
      </c>
      <c r="S605">
        <v>2274</v>
      </c>
      <c r="T605" t="s">
        <v>21</v>
      </c>
    </row>
    <row r="606" spans="1:20" x14ac:dyDescent="0.25">
      <c r="A606">
        <v>42</v>
      </c>
      <c r="B606" t="str">
        <f t="shared" si="9"/>
        <v>35-44</v>
      </c>
      <c r="C606" t="s">
        <v>21</v>
      </c>
      <c r="F606" t="s">
        <v>17</v>
      </c>
      <c r="G606">
        <v>933</v>
      </c>
      <c r="H606" t="s">
        <v>23</v>
      </c>
      <c r="I606">
        <v>29</v>
      </c>
      <c r="J606">
        <v>3</v>
      </c>
      <c r="K606" t="s">
        <v>19</v>
      </c>
      <c r="L606">
        <v>1</v>
      </c>
      <c r="M606">
        <v>836</v>
      </c>
      <c r="O606">
        <v>2</v>
      </c>
      <c r="P606">
        <v>2</v>
      </c>
      <c r="Q606" t="s">
        <v>28</v>
      </c>
      <c r="R606">
        <v>2</v>
      </c>
      <c r="S606">
        <v>4434</v>
      </c>
      <c r="T606" t="s">
        <v>21</v>
      </c>
    </row>
    <row r="607" spans="1:20" x14ac:dyDescent="0.25">
      <c r="A607">
        <v>38</v>
      </c>
      <c r="B607" t="str">
        <f t="shared" si="9"/>
        <v>35-44</v>
      </c>
      <c r="C607" t="s">
        <v>21</v>
      </c>
      <c r="F607" t="s">
        <v>22</v>
      </c>
      <c r="G607">
        <v>471</v>
      </c>
      <c r="H607" t="s">
        <v>23</v>
      </c>
      <c r="I607">
        <v>12</v>
      </c>
      <c r="J607">
        <v>3</v>
      </c>
      <c r="K607" t="s">
        <v>19</v>
      </c>
      <c r="L607">
        <v>1</v>
      </c>
      <c r="M607">
        <v>837</v>
      </c>
      <c r="O607">
        <v>1</v>
      </c>
      <c r="P607">
        <v>2</v>
      </c>
      <c r="Q607" t="s">
        <v>29</v>
      </c>
      <c r="R607">
        <v>1</v>
      </c>
      <c r="S607">
        <v>6288</v>
      </c>
      <c r="T607" t="s">
        <v>21</v>
      </c>
    </row>
    <row r="608" spans="1:20" x14ac:dyDescent="0.25">
      <c r="A608">
        <v>34</v>
      </c>
      <c r="B608" t="str">
        <f t="shared" si="9"/>
        <v>25-34</v>
      </c>
      <c r="C608" t="s">
        <v>21</v>
      </c>
      <c r="F608" t="s">
        <v>22</v>
      </c>
      <c r="G608">
        <v>702</v>
      </c>
      <c r="H608" t="s">
        <v>23</v>
      </c>
      <c r="I608">
        <v>16</v>
      </c>
      <c r="J608">
        <v>4</v>
      </c>
      <c r="K608" t="s">
        <v>19</v>
      </c>
      <c r="L608">
        <v>1</v>
      </c>
      <c r="M608">
        <v>838</v>
      </c>
      <c r="O608">
        <v>3</v>
      </c>
      <c r="P608">
        <v>1</v>
      </c>
      <c r="Q608" t="s">
        <v>24</v>
      </c>
      <c r="R608">
        <v>4</v>
      </c>
      <c r="S608">
        <v>2553</v>
      </c>
      <c r="T608" t="s">
        <v>21</v>
      </c>
    </row>
    <row r="609" spans="1:20" x14ac:dyDescent="0.25">
      <c r="A609">
        <v>49</v>
      </c>
      <c r="B609" t="str">
        <f t="shared" si="9"/>
        <v>45-54</v>
      </c>
      <c r="C609" t="s">
        <v>16</v>
      </c>
      <c r="F609" t="s">
        <v>17</v>
      </c>
      <c r="G609">
        <v>1184</v>
      </c>
      <c r="H609" t="s">
        <v>18</v>
      </c>
      <c r="I609">
        <v>11</v>
      </c>
      <c r="J609">
        <v>3</v>
      </c>
      <c r="K609" t="s">
        <v>34</v>
      </c>
      <c r="L609">
        <v>1</v>
      </c>
      <c r="M609">
        <v>840</v>
      </c>
      <c r="O609">
        <v>3</v>
      </c>
      <c r="P609">
        <v>3</v>
      </c>
      <c r="Q609" t="s">
        <v>20</v>
      </c>
      <c r="R609">
        <v>4</v>
      </c>
      <c r="S609">
        <v>7654</v>
      </c>
      <c r="T609" t="s">
        <v>21</v>
      </c>
    </row>
    <row r="610" spans="1:20" x14ac:dyDescent="0.25">
      <c r="A610">
        <v>55</v>
      </c>
      <c r="B610" t="str">
        <f t="shared" si="9"/>
        <v>55+</v>
      </c>
      <c r="C610" t="s">
        <v>16</v>
      </c>
      <c r="F610" t="s">
        <v>17</v>
      </c>
      <c r="G610">
        <v>436</v>
      </c>
      <c r="H610" t="s">
        <v>18</v>
      </c>
      <c r="I610">
        <v>2</v>
      </c>
      <c r="J610">
        <v>1</v>
      </c>
      <c r="K610" t="s">
        <v>27</v>
      </c>
      <c r="L610">
        <v>1</v>
      </c>
      <c r="M610">
        <v>842</v>
      </c>
      <c r="O610">
        <v>3</v>
      </c>
      <c r="P610">
        <v>2</v>
      </c>
      <c r="Q610" t="s">
        <v>20</v>
      </c>
      <c r="R610">
        <v>4</v>
      </c>
      <c r="S610">
        <v>5160</v>
      </c>
      <c r="T610" t="s">
        <v>21</v>
      </c>
    </row>
    <row r="611" spans="1:20" x14ac:dyDescent="0.25">
      <c r="A611">
        <v>43</v>
      </c>
      <c r="B611" t="str">
        <f t="shared" si="9"/>
        <v>35-44</v>
      </c>
      <c r="C611" t="s">
        <v>21</v>
      </c>
      <c r="F611" t="s">
        <v>17</v>
      </c>
      <c r="G611">
        <v>589</v>
      </c>
      <c r="H611" t="s">
        <v>23</v>
      </c>
      <c r="I611">
        <v>14</v>
      </c>
      <c r="J611">
        <v>2</v>
      </c>
      <c r="K611" t="s">
        <v>19</v>
      </c>
      <c r="L611">
        <v>1</v>
      </c>
      <c r="M611">
        <v>843</v>
      </c>
      <c r="O611">
        <v>2</v>
      </c>
      <c r="P611">
        <v>4</v>
      </c>
      <c r="Q611" t="s">
        <v>33</v>
      </c>
      <c r="R611">
        <v>1</v>
      </c>
      <c r="S611">
        <v>17159</v>
      </c>
      <c r="T611" t="s">
        <v>21</v>
      </c>
    </row>
    <row r="612" spans="1:20" x14ac:dyDescent="0.25">
      <c r="A612">
        <v>27</v>
      </c>
      <c r="B612" t="str">
        <f t="shared" si="9"/>
        <v>25-34</v>
      </c>
      <c r="C612" t="s">
        <v>21</v>
      </c>
      <c r="F612" t="s">
        <v>17</v>
      </c>
      <c r="G612">
        <v>269</v>
      </c>
      <c r="H612" t="s">
        <v>23</v>
      </c>
      <c r="I612">
        <v>5</v>
      </c>
      <c r="J612">
        <v>1</v>
      </c>
      <c r="K612" t="s">
        <v>35</v>
      </c>
      <c r="L612">
        <v>1</v>
      </c>
      <c r="M612">
        <v>844</v>
      </c>
      <c r="O612">
        <v>3</v>
      </c>
      <c r="P612">
        <v>3</v>
      </c>
      <c r="Q612" t="s">
        <v>33</v>
      </c>
      <c r="R612">
        <v>4</v>
      </c>
      <c r="S612">
        <v>12808</v>
      </c>
      <c r="T612" t="s">
        <v>16</v>
      </c>
    </row>
    <row r="613" spans="1:20" x14ac:dyDescent="0.25">
      <c r="A613">
        <v>35</v>
      </c>
      <c r="B613" t="str">
        <f t="shared" si="9"/>
        <v>35-44</v>
      </c>
      <c r="C613" t="s">
        <v>21</v>
      </c>
      <c r="F613" t="s">
        <v>17</v>
      </c>
      <c r="G613">
        <v>950</v>
      </c>
      <c r="H613" t="s">
        <v>23</v>
      </c>
      <c r="I613">
        <v>7</v>
      </c>
      <c r="J613">
        <v>3</v>
      </c>
      <c r="K613" t="s">
        <v>25</v>
      </c>
      <c r="L613">
        <v>1</v>
      </c>
      <c r="M613">
        <v>845</v>
      </c>
      <c r="O613">
        <v>3</v>
      </c>
      <c r="P613">
        <v>3</v>
      </c>
      <c r="Q613" t="s">
        <v>28</v>
      </c>
      <c r="R613">
        <v>3</v>
      </c>
      <c r="S613">
        <v>10221</v>
      </c>
      <c r="T613" t="s">
        <v>21</v>
      </c>
    </row>
    <row r="614" spans="1:20" x14ac:dyDescent="0.25">
      <c r="A614">
        <v>28</v>
      </c>
      <c r="B614" t="str">
        <f t="shared" si="9"/>
        <v>25-34</v>
      </c>
      <c r="C614" t="s">
        <v>21</v>
      </c>
      <c r="F614" t="s">
        <v>17</v>
      </c>
      <c r="G614">
        <v>760</v>
      </c>
      <c r="H614" t="s">
        <v>18</v>
      </c>
      <c r="I614">
        <v>2</v>
      </c>
      <c r="J614">
        <v>4</v>
      </c>
      <c r="K614" t="s">
        <v>34</v>
      </c>
      <c r="L614">
        <v>1</v>
      </c>
      <c r="M614">
        <v>846</v>
      </c>
      <c r="O614">
        <v>2</v>
      </c>
      <c r="P614">
        <v>2</v>
      </c>
      <c r="Q614" t="s">
        <v>20</v>
      </c>
      <c r="R614">
        <v>2</v>
      </c>
      <c r="S614">
        <v>4779</v>
      </c>
      <c r="T614" t="s">
        <v>16</v>
      </c>
    </row>
    <row r="615" spans="1:20" x14ac:dyDescent="0.25">
      <c r="A615">
        <v>34</v>
      </c>
      <c r="B615" t="str">
        <f t="shared" si="9"/>
        <v>25-34</v>
      </c>
      <c r="C615" t="s">
        <v>21</v>
      </c>
      <c r="F615" t="s">
        <v>17</v>
      </c>
      <c r="G615">
        <v>829</v>
      </c>
      <c r="H615" t="s">
        <v>36</v>
      </c>
      <c r="I615">
        <v>3</v>
      </c>
      <c r="J615">
        <v>2</v>
      </c>
      <c r="K615" t="s">
        <v>36</v>
      </c>
      <c r="L615">
        <v>1</v>
      </c>
      <c r="M615">
        <v>847</v>
      </c>
      <c r="O615">
        <v>3</v>
      </c>
      <c r="P615">
        <v>1</v>
      </c>
      <c r="Q615" t="s">
        <v>36</v>
      </c>
      <c r="R615">
        <v>4</v>
      </c>
      <c r="S615">
        <v>3737</v>
      </c>
      <c r="T615" t="s">
        <v>21</v>
      </c>
    </row>
    <row r="616" spans="1:20" x14ac:dyDescent="0.25">
      <c r="A616">
        <v>26</v>
      </c>
      <c r="B616" t="str">
        <f t="shared" si="9"/>
        <v>25-34</v>
      </c>
      <c r="C616" t="s">
        <v>16</v>
      </c>
      <c r="F616" t="s">
        <v>22</v>
      </c>
      <c r="G616">
        <v>887</v>
      </c>
      <c r="H616" t="s">
        <v>23</v>
      </c>
      <c r="I616">
        <v>5</v>
      </c>
      <c r="J616">
        <v>2</v>
      </c>
      <c r="K616" t="s">
        <v>27</v>
      </c>
      <c r="L616">
        <v>1</v>
      </c>
      <c r="M616">
        <v>848</v>
      </c>
      <c r="O616">
        <v>3</v>
      </c>
      <c r="P616">
        <v>1</v>
      </c>
      <c r="Q616" t="s">
        <v>24</v>
      </c>
      <c r="R616">
        <v>3</v>
      </c>
      <c r="S616">
        <v>2366</v>
      </c>
      <c r="T616" t="s">
        <v>16</v>
      </c>
    </row>
    <row r="617" spans="1:20" x14ac:dyDescent="0.25">
      <c r="A617">
        <v>27</v>
      </c>
      <c r="B617" t="str">
        <f t="shared" si="9"/>
        <v>25-34</v>
      </c>
      <c r="C617" t="s">
        <v>21</v>
      </c>
      <c r="F617" t="s">
        <v>30</v>
      </c>
      <c r="G617">
        <v>443</v>
      </c>
      <c r="H617" t="s">
        <v>23</v>
      </c>
      <c r="I617">
        <v>3</v>
      </c>
      <c r="J617">
        <v>3</v>
      </c>
      <c r="K617" t="s">
        <v>27</v>
      </c>
      <c r="L617">
        <v>1</v>
      </c>
      <c r="M617">
        <v>850</v>
      </c>
      <c r="O617">
        <v>4</v>
      </c>
      <c r="P617">
        <v>1</v>
      </c>
      <c r="Q617" t="s">
        <v>24</v>
      </c>
      <c r="R617">
        <v>4</v>
      </c>
      <c r="S617">
        <v>1706</v>
      </c>
      <c r="T617" t="s">
        <v>21</v>
      </c>
    </row>
    <row r="618" spans="1:20" x14ac:dyDescent="0.25">
      <c r="A618">
        <v>51</v>
      </c>
      <c r="B618" t="str">
        <f t="shared" si="9"/>
        <v>45-54</v>
      </c>
      <c r="C618" t="s">
        <v>21</v>
      </c>
      <c r="F618" t="s">
        <v>17</v>
      </c>
      <c r="G618">
        <v>1318</v>
      </c>
      <c r="H618" t="s">
        <v>18</v>
      </c>
      <c r="I618">
        <v>26</v>
      </c>
      <c r="J618">
        <v>4</v>
      </c>
      <c r="K618" t="s">
        <v>34</v>
      </c>
      <c r="L618">
        <v>1</v>
      </c>
      <c r="M618">
        <v>851</v>
      </c>
      <c r="O618">
        <v>1</v>
      </c>
      <c r="P618">
        <v>4</v>
      </c>
      <c r="Q618" t="s">
        <v>31</v>
      </c>
      <c r="R618">
        <v>3</v>
      </c>
      <c r="S618">
        <v>16307</v>
      </c>
      <c r="T618" t="s">
        <v>21</v>
      </c>
    </row>
    <row r="619" spans="1:20" x14ac:dyDescent="0.25">
      <c r="A619">
        <v>44</v>
      </c>
      <c r="B619" t="str">
        <f t="shared" si="9"/>
        <v>35-44</v>
      </c>
      <c r="C619" t="s">
        <v>21</v>
      </c>
      <c r="F619" t="s">
        <v>17</v>
      </c>
      <c r="G619">
        <v>625</v>
      </c>
      <c r="H619" t="s">
        <v>23</v>
      </c>
      <c r="I619">
        <v>4</v>
      </c>
      <c r="J619">
        <v>3</v>
      </c>
      <c r="K619" t="s">
        <v>27</v>
      </c>
      <c r="L619">
        <v>1</v>
      </c>
      <c r="M619">
        <v>852</v>
      </c>
      <c r="O619">
        <v>4</v>
      </c>
      <c r="P619">
        <v>2</v>
      </c>
      <c r="Q619" t="s">
        <v>29</v>
      </c>
      <c r="R619">
        <v>2</v>
      </c>
      <c r="S619">
        <v>5933</v>
      </c>
      <c r="T619" t="s">
        <v>21</v>
      </c>
    </row>
    <row r="620" spans="1:20" x14ac:dyDescent="0.25">
      <c r="A620">
        <v>25</v>
      </c>
      <c r="B620" t="str">
        <f t="shared" si="9"/>
        <v>25-34</v>
      </c>
      <c r="C620" t="s">
        <v>21</v>
      </c>
      <c r="F620" t="s">
        <v>17</v>
      </c>
      <c r="G620">
        <v>180</v>
      </c>
      <c r="H620" t="s">
        <v>23</v>
      </c>
      <c r="I620">
        <v>2</v>
      </c>
      <c r="J620">
        <v>1</v>
      </c>
      <c r="K620" t="s">
        <v>27</v>
      </c>
      <c r="L620">
        <v>1</v>
      </c>
      <c r="M620">
        <v>854</v>
      </c>
      <c r="O620">
        <v>1</v>
      </c>
      <c r="P620">
        <v>1</v>
      </c>
      <c r="Q620" t="s">
        <v>24</v>
      </c>
      <c r="R620">
        <v>1</v>
      </c>
      <c r="S620">
        <v>3424</v>
      </c>
      <c r="T620" t="s">
        <v>21</v>
      </c>
    </row>
    <row r="621" spans="1:20" x14ac:dyDescent="0.25">
      <c r="A621">
        <v>33</v>
      </c>
      <c r="B621" t="str">
        <f t="shared" si="9"/>
        <v>25-34</v>
      </c>
      <c r="C621" t="s">
        <v>21</v>
      </c>
      <c r="F621" t="s">
        <v>17</v>
      </c>
      <c r="G621">
        <v>586</v>
      </c>
      <c r="H621" t="s">
        <v>18</v>
      </c>
      <c r="I621">
        <v>1</v>
      </c>
      <c r="J621">
        <v>3</v>
      </c>
      <c r="K621" t="s">
        <v>27</v>
      </c>
      <c r="L621">
        <v>1</v>
      </c>
      <c r="M621">
        <v>855</v>
      </c>
      <c r="O621">
        <v>1</v>
      </c>
      <c r="P621">
        <v>2</v>
      </c>
      <c r="Q621" t="s">
        <v>20</v>
      </c>
      <c r="R621">
        <v>1</v>
      </c>
      <c r="S621">
        <v>4037</v>
      </c>
      <c r="T621" t="s">
        <v>21</v>
      </c>
    </row>
    <row r="622" spans="1:20" x14ac:dyDescent="0.25">
      <c r="A622">
        <v>35</v>
      </c>
      <c r="B622" t="str">
        <f t="shared" si="9"/>
        <v>35-44</v>
      </c>
      <c r="C622" t="s">
        <v>21</v>
      </c>
      <c r="F622" t="s">
        <v>17</v>
      </c>
      <c r="G622">
        <v>1343</v>
      </c>
      <c r="H622" t="s">
        <v>23</v>
      </c>
      <c r="I622">
        <v>27</v>
      </c>
      <c r="J622">
        <v>1</v>
      </c>
      <c r="K622" t="s">
        <v>27</v>
      </c>
      <c r="L622">
        <v>1</v>
      </c>
      <c r="M622">
        <v>856</v>
      </c>
      <c r="O622">
        <v>3</v>
      </c>
      <c r="P622">
        <v>1</v>
      </c>
      <c r="Q622" t="s">
        <v>24</v>
      </c>
      <c r="R622">
        <v>1</v>
      </c>
      <c r="S622">
        <v>2559</v>
      </c>
      <c r="T622" t="s">
        <v>21</v>
      </c>
    </row>
    <row r="623" spans="1:20" x14ac:dyDescent="0.25">
      <c r="A623">
        <v>36</v>
      </c>
      <c r="B623" t="str">
        <f t="shared" si="9"/>
        <v>35-44</v>
      </c>
      <c r="C623" t="s">
        <v>21</v>
      </c>
      <c r="F623" t="s">
        <v>17</v>
      </c>
      <c r="G623">
        <v>928</v>
      </c>
      <c r="H623" t="s">
        <v>18</v>
      </c>
      <c r="I623">
        <v>1</v>
      </c>
      <c r="J623">
        <v>2</v>
      </c>
      <c r="K623" t="s">
        <v>19</v>
      </c>
      <c r="L623">
        <v>1</v>
      </c>
      <c r="M623">
        <v>857</v>
      </c>
      <c r="O623">
        <v>2</v>
      </c>
      <c r="P623">
        <v>2</v>
      </c>
      <c r="Q623" t="s">
        <v>20</v>
      </c>
      <c r="R623">
        <v>4</v>
      </c>
      <c r="S623">
        <v>6201</v>
      </c>
      <c r="T623" t="s">
        <v>16</v>
      </c>
    </row>
    <row r="624" spans="1:20" x14ac:dyDescent="0.25">
      <c r="A624">
        <v>32</v>
      </c>
      <c r="B624" t="str">
        <f t="shared" si="9"/>
        <v>25-34</v>
      </c>
      <c r="C624" t="s">
        <v>21</v>
      </c>
      <c r="F624" t="s">
        <v>17</v>
      </c>
      <c r="G624">
        <v>117</v>
      </c>
      <c r="H624" t="s">
        <v>18</v>
      </c>
      <c r="I624">
        <v>13</v>
      </c>
      <c r="J624">
        <v>4</v>
      </c>
      <c r="K624" t="s">
        <v>19</v>
      </c>
      <c r="L624">
        <v>1</v>
      </c>
      <c r="M624">
        <v>859</v>
      </c>
      <c r="O624">
        <v>2</v>
      </c>
      <c r="P624">
        <v>2</v>
      </c>
      <c r="Q624" t="s">
        <v>20</v>
      </c>
      <c r="R624">
        <v>4</v>
      </c>
      <c r="S624">
        <v>4403</v>
      </c>
      <c r="T624" t="s">
        <v>21</v>
      </c>
    </row>
    <row r="625" spans="1:20" x14ac:dyDescent="0.25">
      <c r="A625">
        <v>30</v>
      </c>
      <c r="B625" t="str">
        <f t="shared" si="9"/>
        <v>25-34</v>
      </c>
      <c r="C625" t="s">
        <v>21</v>
      </c>
      <c r="F625" t="s">
        <v>22</v>
      </c>
      <c r="G625">
        <v>1012</v>
      </c>
      <c r="H625" t="s">
        <v>23</v>
      </c>
      <c r="I625">
        <v>5</v>
      </c>
      <c r="J625">
        <v>4</v>
      </c>
      <c r="K625" t="s">
        <v>19</v>
      </c>
      <c r="L625">
        <v>1</v>
      </c>
      <c r="M625">
        <v>861</v>
      </c>
      <c r="O625">
        <v>2</v>
      </c>
      <c r="P625">
        <v>1</v>
      </c>
      <c r="Q625" t="s">
        <v>24</v>
      </c>
      <c r="R625">
        <v>4</v>
      </c>
      <c r="S625">
        <v>3761</v>
      </c>
      <c r="T625" t="s">
        <v>21</v>
      </c>
    </row>
    <row r="626" spans="1:20" x14ac:dyDescent="0.25">
      <c r="A626">
        <v>53</v>
      </c>
      <c r="B626" t="str">
        <f t="shared" si="9"/>
        <v>45-54</v>
      </c>
      <c r="C626" t="s">
        <v>21</v>
      </c>
      <c r="F626" t="s">
        <v>17</v>
      </c>
      <c r="G626">
        <v>661</v>
      </c>
      <c r="H626" t="s">
        <v>18</v>
      </c>
      <c r="I626">
        <v>7</v>
      </c>
      <c r="J626">
        <v>2</v>
      </c>
      <c r="K626" t="s">
        <v>34</v>
      </c>
      <c r="L626">
        <v>1</v>
      </c>
      <c r="M626">
        <v>862</v>
      </c>
      <c r="O626">
        <v>1</v>
      </c>
      <c r="P626">
        <v>3</v>
      </c>
      <c r="Q626" t="s">
        <v>20</v>
      </c>
      <c r="R626">
        <v>4</v>
      </c>
      <c r="S626">
        <v>10934</v>
      </c>
      <c r="T626" t="s">
        <v>16</v>
      </c>
    </row>
    <row r="627" spans="1:20" x14ac:dyDescent="0.25">
      <c r="A627">
        <v>45</v>
      </c>
      <c r="B627" t="str">
        <f t="shared" si="9"/>
        <v>45-54</v>
      </c>
      <c r="C627" t="s">
        <v>21</v>
      </c>
      <c r="F627" t="s">
        <v>17</v>
      </c>
      <c r="G627">
        <v>930</v>
      </c>
      <c r="H627" t="s">
        <v>18</v>
      </c>
      <c r="I627">
        <v>9</v>
      </c>
      <c r="J627">
        <v>3</v>
      </c>
      <c r="K627" t="s">
        <v>34</v>
      </c>
      <c r="L627">
        <v>1</v>
      </c>
      <c r="M627">
        <v>864</v>
      </c>
      <c r="O627">
        <v>4</v>
      </c>
      <c r="P627">
        <v>3</v>
      </c>
      <c r="Q627" t="s">
        <v>20</v>
      </c>
      <c r="R627">
        <v>1</v>
      </c>
      <c r="S627">
        <v>10761</v>
      </c>
      <c r="T627" t="s">
        <v>16</v>
      </c>
    </row>
    <row r="628" spans="1:20" x14ac:dyDescent="0.25">
      <c r="A628">
        <v>32</v>
      </c>
      <c r="B628" t="str">
        <f t="shared" si="9"/>
        <v>25-34</v>
      </c>
      <c r="C628" t="s">
        <v>21</v>
      </c>
      <c r="F628" t="s">
        <v>17</v>
      </c>
      <c r="G628">
        <v>638</v>
      </c>
      <c r="H628" t="s">
        <v>23</v>
      </c>
      <c r="I628">
        <v>8</v>
      </c>
      <c r="J628">
        <v>2</v>
      </c>
      <c r="K628" t="s">
        <v>27</v>
      </c>
      <c r="L628">
        <v>1</v>
      </c>
      <c r="M628">
        <v>865</v>
      </c>
      <c r="O628">
        <v>3</v>
      </c>
      <c r="P628">
        <v>2</v>
      </c>
      <c r="Q628" t="s">
        <v>24</v>
      </c>
      <c r="R628">
        <v>3</v>
      </c>
      <c r="S628">
        <v>5175</v>
      </c>
      <c r="T628" t="s">
        <v>21</v>
      </c>
    </row>
    <row r="629" spans="1:20" x14ac:dyDescent="0.25">
      <c r="A629">
        <v>52</v>
      </c>
      <c r="B629" t="str">
        <f t="shared" si="9"/>
        <v>45-54</v>
      </c>
      <c r="C629" t="s">
        <v>21</v>
      </c>
      <c r="F629" t="s">
        <v>22</v>
      </c>
      <c r="G629">
        <v>890</v>
      </c>
      <c r="H629" t="s">
        <v>23</v>
      </c>
      <c r="I629">
        <v>25</v>
      </c>
      <c r="J629">
        <v>4</v>
      </c>
      <c r="K629" t="s">
        <v>27</v>
      </c>
      <c r="L629">
        <v>1</v>
      </c>
      <c r="M629">
        <v>867</v>
      </c>
      <c r="O629">
        <v>3</v>
      </c>
      <c r="P629">
        <v>4</v>
      </c>
      <c r="Q629" t="s">
        <v>28</v>
      </c>
      <c r="R629">
        <v>4</v>
      </c>
      <c r="S629">
        <v>13826</v>
      </c>
      <c r="T629" t="s">
        <v>21</v>
      </c>
    </row>
    <row r="630" spans="1:20" x14ac:dyDescent="0.25">
      <c r="A630">
        <v>37</v>
      </c>
      <c r="B630" t="str">
        <f t="shared" si="9"/>
        <v>35-44</v>
      </c>
      <c r="C630" t="s">
        <v>21</v>
      </c>
      <c r="F630" t="s">
        <v>17</v>
      </c>
      <c r="G630">
        <v>342</v>
      </c>
      <c r="H630" t="s">
        <v>18</v>
      </c>
      <c r="I630">
        <v>16</v>
      </c>
      <c r="J630">
        <v>4</v>
      </c>
      <c r="K630" t="s">
        <v>34</v>
      </c>
      <c r="L630">
        <v>1</v>
      </c>
      <c r="M630">
        <v>868</v>
      </c>
      <c r="O630">
        <v>4</v>
      </c>
      <c r="P630">
        <v>2</v>
      </c>
      <c r="Q630" t="s">
        <v>20</v>
      </c>
      <c r="R630">
        <v>3</v>
      </c>
      <c r="S630">
        <v>6334</v>
      </c>
      <c r="T630" t="s">
        <v>21</v>
      </c>
    </row>
    <row r="631" spans="1:20" x14ac:dyDescent="0.25">
      <c r="A631">
        <v>28</v>
      </c>
      <c r="B631" t="str">
        <f t="shared" si="9"/>
        <v>25-34</v>
      </c>
      <c r="C631" t="s">
        <v>21</v>
      </c>
      <c r="F631" t="s">
        <v>17</v>
      </c>
      <c r="G631">
        <v>1169</v>
      </c>
      <c r="H631" t="s">
        <v>36</v>
      </c>
      <c r="I631">
        <v>8</v>
      </c>
      <c r="J631">
        <v>2</v>
      </c>
      <c r="K631" t="s">
        <v>27</v>
      </c>
      <c r="L631">
        <v>1</v>
      </c>
      <c r="M631">
        <v>869</v>
      </c>
      <c r="O631">
        <v>2</v>
      </c>
      <c r="P631">
        <v>1</v>
      </c>
      <c r="Q631" t="s">
        <v>36</v>
      </c>
      <c r="R631">
        <v>4</v>
      </c>
      <c r="S631">
        <v>4936</v>
      </c>
      <c r="T631" t="s">
        <v>21</v>
      </c>
    </row>
    <row r="632" spans="1:20" x14ac:dyDescent="0.25">
      <c r="A632">
        <v>22</v>
      </c>
      <c r="B632" t="str">
        <f t="shared" si="9"/>
        <v>18-24</v>
      </c>
      <c r="C632" t="s">
        <v>21</v>
      </c>
      <c r="F632" t="s">
        <v>17</v>
      </c>
      <c r="G632">
        <v>1230</v>
      </c>
      <c r="H632" t="s">
        <v>23</v>
      </c>
      <c r="I632">
        <v>1</v>
      </c>
      <c r="J632">
        <v>2</v>
      </c>
      <c r="K632" t="s">
        <v>19</v>
      </c>
      <c r="L632">
        <v>1</v>
      </c>
      <c r="M632">
        <v>872</v>
      </c>
      <c r="O632">
        <v>4</v>
      </c>
      <c r="P632">
        <v>2</v>
      </c>
      <c r="Q632" t="s">
        <v>28</v>
      </c>
      <c r="R632">
        <v>4</v>
      </c>
      <c r="S632">
        <v>4775</v>
      </c>
      <c r="T632" t="s">
        <v>21</v>
      </c>
    </row>
    <row r="633" spans="1:20" x14ac:dyDescent="0.25">
      <c r="A633">
        <v>44</v>
      </c>
      <c r="B633" t="str">
        <f t="shared" si="9"/>
        <v>35-44</v>
      </c>
      <c r="C633" t="s">
        <v>21</v>
      </c>
      <c r="F633" t="s">
        <v>17</v>
      </c>
      <c r="G633">
        <v>986</v>
      </c>
      <c r="H633" t="s">
        <v>23</v>
      </c>
      <c r="I633">
        <v>8</v>
      </c>
      <c r="J633">
        <v>4</v>
      </c>
      <c r="K633" t="s">
        <v>19</v>
      </c>
      <c r="L633">
        <v>1</v>
      </c>
      <c r="M633">
        <v>874</v>
      </c>
      <c r="O633">
        <v>1</v>
      </c>
      <c r="P633">
        <v>1</v>
      </c>
      <c r="Q633" t="s">
        <v>26</v>
      </c>
      <c r="R633">
        <v>4</v>
      </c>
      <c r="S633">
        <v>2818</v>
      </c>
      <c r="T633" t="s">
        <v>16</v>
      </c>
    </row>
    <row r="634" spans="1:20" x14ac:dyDescent="0.25">
      <c r="A634">
        <v>42</v>
      </c>
      <c r="B634" t="str">
        <f t="shared" si="9"/>
        <v>35-44</v>
      </c>
      <c r="C634" t="s">
        <v>21</v>
      </c>
      <c r="F634" t="s">
        <v>22</v>
      </c>
      <c r="G634">
        <v>1271</v>
      </c>
      <c r="H634" t="s">
        <v>23</v>
      </c>
      <c r="I634">
        <v>2</v>
      </c>
      <c r="J634">
        <v>1</v>
      </c>
      <c r="K634" t="s">
        <v>27</v>
      </c>
      <c r="L634">
        <v>1</v>
      </c>
      <c r="M634">
        <v>875</v>
      </c>
      <c r="O634">
        <v>2</v>
      </c>
      <c r="P634">
        <v>1</v>
      </c>
      <c r="Q634" t="s">
        <v>24</v>
      </c>
      <c r="R634">
        <v>4</v>
      </c>
      <c r="S634">
        <v>2515</v>
      </c>
      <c r="T634" t="s">
        <v>16</v>
      </c>
    </row>
    <row r="635" spans="1:20" x14ac:dyDescent="0.25">
      <c r="A635">
        <v>36</v>
      </c>
      <c r="B635" t="str">
        <f t="shared" si="9"/>
        <v>35-44</v>
      </c>
      <c r="C635" t="s">
        <v>21</v>
      </c>
      <c r="F635" t="s">
        <v>17</v>
      </c>
      <c r="G635">
        <v>1278</v>
      </c>
      <c r="H635" t="s">
        <v>36</v>
      </c>
      <c r="I635">
        <v>8</v>
      </c>
      <c r="J635">
        <v>3</v>
      </c>
      <c r="K635" t="s">
        <v>19</v>
      </c>
      <c r="L635">
        <v>1</v>
      </c>
      <c r="M635">
        <v>878</v>
      </c>
      <c r="O635">
        <v>1</v>
      </c>
      <c r="P635">
        <v>1</v>
      </c>
      <c r="Q635" t="s">
        <v>36</v>
      </c>
      <c r="R635">
        <v>1</v>
      </c>
      <c r="S635">
        <v>2342</v>
      </c>
      <c r="T635" t="s">
        <v>21</v>
      </c>
    </row>
    <row r="636" spans="1:20" x14ac:dyDescent="0.25">
      <c r="A636">
        <v>25</v>
      </c>
      <c r="B636" t="str">
        <f t="shared" si="9"/>
        <v>25-34</v>
      </c>
      <c r="C636" t="s">
        <v>21</v>
      </c>
      <c r="F636" t="s">
        <v>17</v>
      </c>
      <c r="G636">
        <v>141</v>
      </c>
      <c r="H636" t="s">
        <v>18</v>
      </c>
      <c r="I636">
        <v>3</v>
      </c>
      <c r="J636">
        <v>1</v>
      </c>
      <c r="K636" t="s">
        <v>25</v>
      </c>
      <c r="L636">
        <v>1</v>
      </c>
      <c r="M636">
        <v>879</v>
      </c>
      <c r="O636">
        <v>3</v>
      </c>
      <c r="P636">
        <v>2</v>
      </c>
      <c r="Q636" t="s">
        <v>20</v>
      </c>
      <c r="R636">
        <v>1</v>
      </c>
      <c r="S636">
        <v>4194</v>
      </c>
      <c r="T636" t="s">
        <v>16</v>
      </c>
    </row>
    <row r="637" spans="1:20" x14ac:dyDescent="0.25">
      <c r="A637">
        <v>35</v>
      </c>
      <c r="B637" t="str">
        <f t="shared" si="9"/>
        <v>35-44</v>
      </c>
      <c r="C637" t="s">
        <v>21</v>
      </c>
      <c r="F637" t="s">
        <v>17</v>
      </c>
      <c r="G637">
        <v>607</v>
      </c>
      <c r="H637" t="s">
        <v>23</v>
      </c>
      <c r="I637">
        <v>9</v>
      </c>
      <c r="J637">
        <v>3</v>
      </c>
      <c r="K637" t="s">
        <v>19</v>
      </c>
      <c r="L637">
        <v>1</v>
      </c>
      <c r="M637">
        <v>880</v>
      </c>
      <c r="O637">
        <v>4</v>
      </c>
      <c r="P637">
        <v>3</v>
      </c>
      <c r="Q637" t="s">
        <v>28</v>
      </c>
      <c r="R637">
        <v>3</v>
      </c>
      <c r="S637">
        <v>10685</v>
      </c>
      <c r="T637" t="s">
        <v>16</v>
      </c>
    </row>
    <row r="638" spans="1:20" x14ac:dyDescent="0.25">
      <c r="A638">
        <v>35</v>
      </c>
      <c r="B638" t="str">
        <f t="shared" si="9"/>
        <v>35-44</v>
      </c>
      <c r="C638" t="s">
        <v>16</v>
      </c>
      <c r="F638" t="s">
        <v>22</v>
      </c>
      <c r="G638">
        <v>130</v>
      </c>
      <c r="H638" t="s">
        <v>23</v>
      </c>
      <c r="I638">
        <v>25</v>
      </c>
      <c r="J638">
        <v>4</v>
      </c>
      <c r="K638" t="s">
        <v>19</v>
      </c>
      <c r="L638">
        <v>1</v>
      </c>
      <c r="M638">
        <v>881</v>
      </c>
      <c r="O638">
        <v>4</v>
      </c>
      <c r="P638">
        <v>1</v>
      </c>
      <c r="Q638" t="s">
        <v>24</v>
      </c>
      <c r="R638">
        <v>2</v>
      </c>
      <c r="S638">
        <v>2022</v>
      </c>
      <c r="T638" t="s">
        <v>16</v>
      </c>
    </row>
    <row r="639" spans="1:20" x14ac:dyDescent="0.25">
      <c r="A639">
        <v>32</v>
      </c>
      <c r="B639" t="str">
        <f t="shared" si="9"/>
        <v>25-34</v>
      </c>
      <c r="C639" t="s">
        <v>21</v>
      </c>
      <c r="F639" t="s">
        <v>30</v>
      </c>
      <c r="G639">
        <v>300</v>
      </c>
      <c r="H639" t="s">
        <v>23</v>
      </c>
      <c r="I639">
        <v>1</v>
      </c>
      <c r="J639">
        <v>3</v>
      </c>
      <c r="K639" t="s">
        <v>19</v>
      </c>
      <c r="L639">
        <v>1</v>
      </c>
      <c r="M639">
        <v>882</v>
      </c>
      <c r="O639">
        <v>4</v>
      </c>
      <c r="P639">
        <v>1</v>
      </c>
      <c r="Q639" t="s">
        <v>26</v>
      </c>
      <c r="R639">
        <v>4</v>
      </c>
      <c r="S639">
        <v>2314</v>
      </c>
      <c r="T639" t="s">
        <v>21</v>
      </c>
    </row>
    <row r="640" spans="1:20" x14ac:dyDescent="0.25">
      <c r="A640">
        <v>25</v>
      </c>
      <c r="B640" t="str">
        <f t="shared" si="9"/>
        <v>25-34</v>
      </c>
      <c r="C640" t="s">
        <v>21</v>
      </c>
      <c r="F640" t="s">
        <v>17</v>
      </c>
      <c r="G640">
        <v>583</v>
      </c>
      <c r="H640" t="s">
        <v>18</v>
      </c>
      <c r="I640">
        <v>4</v>
      </c>
      <c r="J640">
        <v>1</v>
      </c>
      <c r="K640" t="s">
        <v>34</v>
      </c>
      <c r="L640">
        <v>1</v>
      </c>
      <c r="M640">
        <v>885</v>
      </c>
      <c r="O640">
        <v>3</v>
      </c>
      <c r="P640">
        <v>2</v>
      </c>
      <c r="Q640" t="s">
        <v>20</v>
      </c>
      <c r="R640">
        <v>1</v>
      </c>
      <c r="S640">
        <v>4256</v>
      </c>
      <c r="T640" t="s">
        <v>21</v>
      </c>
    </row>
    <row r="641" spans="1:20" x14ac:dyDescent="0.25">
      <c r="A641">
        <v>49</v>
      </c>
      <c r="B641" t="str">
        <f t="shared" si="9"/>
        <v>45-54</v>
      </c>
      <c r="C641" t="s">
        <v>21</v>
      </c>
      <c r="F641" t="s">
        <v>17</v>
      </c>
      <c r="G641">
        <v>1418</v>
      </c>
      <c r="H641" t="s">
        <v>23</v>
      </c>
      <c r="I641">
        <v>1</v>
      </c>
      <c r="J641">
        <v>3</v>
      </c>
      <c r="K641" t="s">
        <v>35</v>
      </c>
      <c r="L641">
        <v>1</v>
      </c>
      <c r="M641">
        <v>887</v>
      </c>
      <c r="O641">
        <v>3</v>
      </c>
      <c r="P641">
        <v>1</v>
      </c>
      <c r="Q641" t="s">
        <v>24</v>
      </c>
      <c r="R641">
        <v>1</v>
      </c>
      <c r="S641">
        <v>3580</v>
      </c>
      <c r="T641" t="s">
        <v>21</v>
      </c>
    </row>
    <row r="642" spans="1:20" x14ac:dyDescent="0.25">
      <c r="A642">
        <v>24</v>
      </c>
      <c r="B642" t="str">
        <f t="shared" si="9"/>
        <v>18-24</v>
      </c>
      <c r="C642" t="s">
        <v>21</v>
      </c>
      <c r="F642" t="s">
        <v>30</v>
      </c>
      <c r="G642">
        <v>1269</v>
      </c>
      <c r="H642" t="s">
        <v>23</v>
      </c>
      <c r="I642">
        <v>4</v>
      </c>
      <c r="J642">
        <v>1</v>
      </c>
      <c r="K642" t="s">
        <v>19</v>
      </c>
      <c r="L642">
        <v>1</v>
      </c>
      <c r="M642">
        <v>888</v>
      </c>
      <c r="O642">
        <v>1</v>
      </c>
      <c r="P642">
        <v>1</v>
      </c>
      <c r="Q642" t="s">
        <v>26</v>
      </c>
      <c r="R642">
        <v>4</v>
      </c>
      <c r="S642">
        <v>3162</v>
      </c>
      <c r="T642" t="s">
        <v>21</v>
      </c>
    </row>
    <row r="643" spans="1:20" x14ac:dyDescent="0.25">
      <c r="A643">
        <v>32</v>
      </c>
      <c r="B643" t="str">
        <f t="shared" ref="B643:B706" si="10">IF(A643&lt;=24,"18-24",IF(A643&lt;=34,"25-34",IF(A643&lt;=44,"35-44",IF(A643&lt;=54,"45-54","55+"))))</f>
        <v>25-34</v>
      </c>
      <c r="C643" t="s">
        <v>21</v>
      </c>
      <c r="F643" t="s">
        <v>22</v>
      </c>
      <c r="G643">
        <v>379</v>
      </c>
      <c r="H643" t="s">
        <v>18</v>
      </c>
      <c r="I643">
        <v>5</v>
      </c>
      <c r="J643">
        <v>2</v>
      </c>
      <c r="K643" t="s">
        <v>19</v>
      </c>
      <c r="L643">
        <v>1</v>
      </c>
      <c r="M643">
        <v>889</v>
      </c>
      <c r="O643">
        <v>2</v>
      </c>
      <c r="P643">
        <v>2</v>
      </c>
      <c r="Q643" t="s">
        <v>20</v>
      </c>
      <c r="R643">
        <v>2</v>
      </c>
      <c r="S643">
        <v>6524</v>
      </c>
      <c r="T643" t="s">
        <v>21</v>
      </c>
    </row>
    <row r="644" spans="1:20" x14ac:dyDescent="0.25">
      <c r="A644">
        <v>38</v>
      </c>
      <c r="B644" t="str">
        <f t="shared" si="10"/>
        <v>35-44</v>
      </c>
      <c r="C644" t="s">
        <v>21</v>
      </c>
      <c r="F644" t="s">
        <v>17</v>
      </c>
      <c r="G644">
        <v>395</v>
      </c>
      <c r="H644" t="s">
        <v>18</v>
      </c>
      <c r="I644">
        <v>9</v>
      </c>
      <c r="J644">
        <v>3</v>
      </c>
      <c r="K644" t="s">
        <v>34</v>
      </c>
      <c r="L644">
        <v>1</v>
      </c>
      <c r="M644">
        <v>893</v>
      </c>
      <c r="O644">
        <v>2</v>
      </c>
      <c r="P644">
        <v>1</v>
      </c>
      <c r="Q644" t="s">
        <v>32</v>
      </c>
      <c r="R644">
        <v>2</v>
      </c>
      <c r="S644">
        <v>2899</v>
      </c>
      <c r="T644" t="s">
        <v>21</v>
      </c>
    </row>
    <row r="645" spans="1:20" x14ac:dyDescent="0.25">
      <c r="A645">
        <v>42</v>
      </c>
      <c r="B645" t="str">
        <f t="shared" si="10"/>
        <v>35-44</v>
      </c>
      <c r="C645" t="s">
        <v>21</v>
      </c>
      <c r="F645" t="s">
        <v>17</v>
      </c>
      <c r="G645">
        <v>1265</v>
      </c>
      <c r="H645" t="s">
        <v>23</v>
      </c>
      <c r="I645">
        <v>3</v>
      </c>
      <c r="J645">
        <v>3</v>
      </c>
      <c r="K645" t="s">
        <v>19</v>
      </c>
      <c r="L645">
        <v>1</v>
      </c>
      <c r="M645">
        <v>894</v>
      </c>
      <c r="O645">
        <v>3</v>
      </c>
      <c r="P645">
        <v>2</v>
      </c>
      <c r="Q645" t="s">
        <v>26</v>
      </c>
      <c r="R645">
        <v>4</v>
      </c>
      <c r="S645">
        <v>5231</v>
      </c>
      <c r="T645" t="s">
        <v>16</v>
      </c>
    </row>
    <row r="646" spans="1:20" x14ac:dyDescent="0.25">
      <c r="A646">
        <v>31</v>
      </c>
      <c r="B646" t="str">
        <f t="shared" si="10"/>
        <v>25-34</v>
      </c>
      <c r="C646" t="s">
        <v>21</v>
      </c>
      <c r="F646" t="s">
        <v>17</v>
      </c>
      <c r="G646">
        <v>1222</v>
      </c>
      <c r="H646" t="s">
        <v>23</v>
      </c>
      <c r="I646">
        <v>11</v>
      </c>
      <c r="J646">
        <v>4</v>
      </c>
      <c r="K646" t="s">
        <v>19</v>
      </c>
      <c r="L646">
        <v>1</v>
      </c>
      <c r="M646">
        <v>895</v>
      </c>
      <c r="O646">
        <v>4</v>
      </c>
      <c r="P646">
        <v>1</v>
      </c>
      <c r="Q646" t="s">
        <v>24</v>
      </c>
      <c r="R646">
        <v>4</v>
      </c>
      <c r="S646">
        <v>2356</v>
      </c>
      <c r="T646" t="s">
        <v>16</v>
      </c>
    </row>
    <row r="647" spans="1:20" x14ac:dyDescent="0.25">
      <c r="A647">
        <v>29</v>
      </c>
      <c r="B647" t="str">
        <f t="shared" si="10"/>
        <v>25-34</v>
      </c>
      <c r="C647" t="s">
        <v>16</v>
      </c>
      <c r="F647" t="s">
        <v>17</v>
      </c>
      <c r="G647">
        <v>341</v>
      </c>
      <c r="H647" t="s">
        <v>18</v>
      </c>
      <c r="I647">
        <v>1</v>
      </c>
      <c r="J647">
        <v>3</v>
      </c>
      <c r="K647" t="s">
        <v>27</v>
      </c>
      <c r="L647">
        <v>1</v>
      </c>
      <c r="M647">
        <v>896</v>
      </c>
      <c r="O647">
        <v>2</v>
      </c>
      <c r="P647">
        <v>1</v>
      </c>
      <c r="Q647" t="s">
        <v>32</v>
      </c>
      <c r="R647">
        <v>3</v>
      </c>
      <c r="S647">
        <v>2800</v>
      </c>
      <c r="T647" t="s">
        <v>16</v>
      </c>
    </row>
    <row r="648" spans="1:20" x14ac:dyDescent="0.25">
      <c r="A648">
        <v>53</v>
      </c>
      <c r="B648" t="str">
        <f t="shared" si="10"/>
        <v>45-54</v>
      </c>
      <c r="C648" t="s">
        <v>21</v>
      </c>
      <c r="F648" t="s">
        <v>17</v>
      </c>
      <c r="G648">
        <v>868</v>
      </c>
      <c r="H648" t="s">
        <v>18</v>
      </c>
      <c r="I648">
        <v>8</v>
      </c>
      <c r="J648">
        <v>3</v>
      </c>
      <c r="K648" t="s">
        <v>34</v>
      </c>
      <c r="L648">
        <v>1</v>
      </c>
      <c r="M648">
        <v>897</v>
      </c>
      <c r="O648">
        <v>1</v>
      </c>
      <c r="P648">
        <v>4</v>
      </c>
      <c r="Q648" t="s">
        <v>20</v>
      </c>
      <c r="R648">
        <v>4</v>
      </c>
      <c r="S648">
        <v>11836</v>
      </c>
      <c r="T648" t="s">
        <v>21</v>
      </c>
    </row>
    <row r="649" spans="1:20" x14ac:dyDescent="0.25">
      <c r="A649">
        <v>35</v>
      </c>
      <c r="B649" t="str">
        <f t="shared" si="10"/>
        <v>35-44</v>
      </c>
      <c r="C649" t="s">
        <v>21</v>
      </c>
      <c r="F649" t="s">
        <v>17</v>
      </c>
      <c r="G649">
        <v>672</v>
      </c>
      <c r="H649" t="s">
        <v>23</v>
      </c>
      <c r="I649">
        <v>25</v>
      </c>
      <c r="J649">
        <v>3</v>
      </c>
      <c r="K649" t="s">
        <v>35</v>
      </c>
      <c r="L649">
        <v>1</v>
      </c>
      <c r="M649">
        <v>899</v>
      </c>
      <c r="O649">
        <v>4</v>
      </c>
      <c r="P649">
        <v>3</v>
      </c>
      <c r="Q649" t="s">
        <v>28</v>
      </c>
      <c r="R649">
        <v>2</v>
      </c>
      <c r="S649">
        <v>10903</v>
      </c>
      <c r="T649" t="s">
        <v>21</v>
      </c>
    </row>
    <row r="650" spans="1:20" x14ac:dyDescent="0.25">
      <c r="A650">
        <v>37</v>
      </c>
      <c r="B650" t="str">
        <f t="shared" si="10"/>
        <v>35-44</v>
      </c>
      <c r="C650" t="s">
        <v>21</v>
      </c>
      <c r="F650" t="s">
        <v>22</v>
      </c>
      <c r="G650">
        <v>1231</v>
      </c>
      <c r="H650" t="s">
        <v>18</v>
      </c>
      <c r="I650">
        <v>21</v>
      </c>
      <c r="J650">
        <v>2</v>
      </c>
      <c r="K650" t="s">
        <v>27</v>
      </c>
      <c r="L650">
        <v>1</v>
      </c>
      <c r="M650">
        <v>900</v>
      </c>
      <c r="O650">
        <v>3</v>
      </c>
      <c r="P650">
        <v>1</v>
      </c>
      <c r="Q650" t="s">
        <v>32</v>
      </c>
      <c r="R650">
        <v>4</v>
      </c>
      <c r="S650">
        <v>2973</v>
      </c>
      <c r="T650" t="s">
        <v>21</v>
      </c>
    </row>
    <row r="651" spans="1:20" x14ac:dyDescent="0.25">
      <c r="A651">
        <v>53</v>
      </c>
      <c r="B651" t="str">
        <f t="shared" si="10"/>
        <v>45-54</v>
      </c>
      <c r="C651" t="s">
        <v>21</v>
      </c>
      <c r="F651" t="s">
        <v>17</v>
      </c>
      <c r="G651">
        <v>102</v>
      </c>
      <c r="H651" t="s">
        <v>23</v>
      </c>
      <c r="I651">
        <v>23</v>
      </c>
      <c r="J651">
        <v>4</v>
      </c>
      <c r="K651" t="s">
        <v>19</v>
      </c>
      <c r="L651">
        <v>1</v>
      </c>
      <c r="M651">
        <v>901</v>
      </c>
      <c r="O651">
        <v>4</v>
      </c>
      <c r="P651">
        <v>4</v>
      </c>
      <c r="Q651" t="s">
        <v>33</v>
      </c>
      <c r="R651">
        <v>4</v>
      </c>
      <c r="S651">
        <v>14275</v>
      </c>
      <c r="T651" t="s">
        <v>21</v>
      </c>
    </row>
    <row r="652" spans="1:20" x14ac:dyDescent="0.25">
      <c r="A652">
        <v>43</v>
      </c>
      <c r="B652" t="str">
        <f t="shared" si="10"/>
        <v>35-44</v>
      </c>
      <c r="C652" t="s">
        <v>21</v>
      </c>
      <c r="F652" t="s">
        <v>22</v>
      </c>
      <c r="G652">
        <v>422</v>
      </c>
      <c r="H652" t="s">
        <v>23</v>
      </c>
      <c r="I652">
        <v>1</v>
      </c>
      <c r="J652">
        <v>3</v>
      </c>
      <c r="K652" t="s">
        <v>19</v>
      </c>
      <c r="L652">
        <v>1</v>
      </c>
      <c r="M652">
        <v>902</v>
      </c>
      <c r="O652">
        <v>4</v>
      </c>
      <c r="P652">
        <v>2</v>
      </c>
      <c r="Q652" t="s">
        <v>29</v>
      </c>
      <c r="R652">
        <v>4</v>
      </c>
      <c r="S652">
        <v>5562</v>
      </c>
      <c r="T652" t="s">
        <v>21</v>
      </c>
    </row>
    <row r="653" spans="1:20" x14ac:dyDescent="0.25">
      <c r="A653">
        <v>47</v>
      </c>
      <c r="B653" t="str">
        <f t="shared" si="10"/>
        <v>45-54</v>
      </c>
      <c r="C653" t="s">
        <v>21</v>
      </c>
      <c r="F653" t="s">
        <v>17</v>
      </c>
      <c r="G653">
        <v>249</v>
      </c>
      <c r="H653" t="s">
        <v>18</v>
      </c>
      <c r="I653">
        <v>2</v>
      </c>
      <c r="J653">
        <v>2</v>
      </c>
      <c r="K653" t="s">
        <v>34</v>
      </c>
      <c r="L653">
        <v>1</v>
      </c>
      <c r="M653">
        <v>903</v>
      </c>
      <c r="O653">
        <v>3</v>
      </c>
      <c r="P653">
        <v>2</v>
      </c>
      <c r="Q653" t="s">
        <v>20</v>
      </c>
      <c r="R653">
        <v>4</v>
      </c>
      <c r="S653">
        <v>4537</v>
      </c>
      <c r="T653" t="s">
        <v>16</v>
      </c>
    </row>
    <row r="654" spans="1:20" x14ac:dyDescent="0.25">
      <c r="A654">
        <v>37</v>
      </c>
      <c r="B654" t="str">
        <f t="shared" si="10"/>
        <v>35-44</v>
      </c>
      <c r="C654" t="s">
        <v>21</v>
      </c>
      <c r="F654" t="s">
        <v>30</v>
      </c>
      <c r="G654">
        <v>1252</v>
      </c>
      <c r="H654" t="s">
        <v>18</v>
      </c>
      <c r="I654">
        <v>19</v>
      </c>
      <c r="J654">
        <v>2</v>
      </c>
      <c r="K654" t="s">
        <v>27</v>
      </c>
      <c r="L654">
        <v>1</v>
      </c>
      <c r="M654">
        <v>904</v>
      </c>
      <c r="O654">
        <v>1</v>
      </c>
      <c r="P654">
        <v>3</v>
      </c>
      <c r="Q654" t="s">
        <v>20</v>
      </c>
      <c r="R654">
        <v>2</v>
      </c>
      <c r="S654">
        <v>7642</v>
      </c>
      <c r="T654" t="s">
        <v>16</v>
      </c>
    </row>
    <row r="655" spans="1:20" x14ac:dyDescent="0.25">
      <c r="A655">
        <v>50</v>
      </c>
      <c r="B655" t="str">
        <f t="shared" si="10"/>
        <v>45-54</v>
      </c>
      <c r="C655" t="s">
        <v>21</v>
      </c>
      <c r="F655" t="s">
        <v>30</v>
      </c>
      <c r="G655">
        <v>881</v>
      </c>
      <c r="H655" t="s">
        <v>23</v>
      </c>
      <c r="I655">
        <v>2</v>
      </c>
      <c r="J655">
        <v>4</v>
      </c>
      <c r="K655" t="s">
        <v>19</v>
      </c>
      <c r="L655">
        <v>1</v>
      </c>
      <c r="M655">
        <v>905</v>
      </c>
      <c r="O655">
        <v>1</v>
      </c>
      <c r="P655">
        <v>4</v>
      </c>
      <c r="Q655" t="s">
        <v>31</v>
      </c>
      <c r="R655">
        <v>1</v>
      </c>
      <c r="S655">
        <v>17924</v>
      </c>
      <c r="T655" t="s">
        <v>21</v>
      </c>
    </row>
    <row r="656" spans="1:20" x14ac:dyDescent="0.25">
      <c r="A656">
        <v>39</v>
      </c>
      <c r="B656" t="str">
        <f t="shared" si="10"/>
        <v>35-44</v>
      </c>
      <c r="C656" t="s">
        <v>21</v>
      </c>
      <c r="F656" t="s">
        <v>17</v>
      </c>
      <c r="G656">
        <v>1383</v>
      </c>
      <c r="H656" t="s">
        <v>36</v>
      </c>
      <c r="I656">
        <v>2</v>
      </c>
      <c r="J656">
        <v>3</v>
      </c>
      <c r="K656" t="s">
        <v>19</v>
      </c>
      <c r="L656">
        <v>1</v>
      </c>
      <c r="M656">
        <v>909</v>
      </c>
      <c r="O656">
        <v>4</v>
      </c>
      <c r="P656">
        <v>2</v>
      </c>
      <c r="Q656" t="s">
        <v>36</v>
      </c>
      <c r="R656">
        <v>4</v>
      </c>
      <c r="S656">
        <v>5204</v>
      </c>
      <c r="T656" t="s">
        <v>21</v>
      </c>
    </row>
    <row r="657" spans="1:20" x14ac:dyDescent="0.25">
      <c r="A657">
        <v>33</v>
      </c>
      <c r="B657" t="str">
        <f t="shared" si="10"/>
        <v>25-34</v>
      </c>
      <c r="C657" t="s">
        <v>21</v>
      </c>
      <c r="F657" t="s">
        <v>17</v>
      </c>
      <c r="G657">
        <v>1075</v>
      </c>
      <c r="H657" t="s">
        <v>36</v>
      </c>
      <c r="I657">
        <v>3</v>
      </c>
      <c r="J657">
        <v>2</v>
      </c>
      <c r="K657" t="s">
        <v>36</v>
      </c>
      <c r="L657">
        <v>1</v>
      </c>
      <c r="M657">
        <v>910</v>
      </c>
      <c r="O657">
        <v>4</v>
      </c>
      <c r="P657">
        <v>1</v>
      </c>
      <c r="Q657" t="s">
        <v>36</v>
      </c>
      <c r="R657">
        <v>2</v>
      </c>
      <c r="S657">
        <v>2277</v>
      </c>
      <c r="T657" t="s">
        <v>16</v>
      </c>
    </row>
    <row r="658" spans="1:20" x14ac:dyDescent="0.25">
      <c r="A658">
        <v>32</v>
      </c>
      <c r="B658" t="str">
        <f t="shared" si="10"/>
        <v>25-34</v>
      </c>
      <c r="C658" t="s">
        <v>16</v>
      </c>
      <c r="F658" t="s">
        <v>17</v>
      </c>
      <c r="G658">
        <v>374</v>
      </c>
      <c r="H658" t="s">
        <v>23</v>
      </c>
      <c r="I658">
        <v>25</v>
      </c>
      <c r="J658">
        <v>4</v>
      </c>
      <c r="K658" t="s">
        <v>19</v>
      </c>
      <c r="L658">
        <v>1</v>
      </c>
      <c r="M658">
        <v>911</v>
      </c>
      <c r="O658">
        <v>1</v>
      </c>
      <c r="P658">
        <v>1</v>
      </c>
      <c r="Q658" t="s">
        <v>26</v>
      </c>
      <c r="R658">
        <v>4</v>
      </c>
      <c r="S658">
        <v>2795</v>
      </c>
      <c r="T658" t="s">
        <v>16</v>
      </c>
    </row>
    <row r="659" spans="1:20" x14ac:dyDescent="0.25">
      <c r="A659">
        <v>29</v>
      </c>
      <c r="B659" t="str">
        <f t="shared" si="10"/>
        <v>25-34</v>
      </c>
      <c r="C659" t="s">
        <v>21</v>
      </c>
      <c r="F659" t="s">
        <v>17</v>
      </c>
      <c r="G659">
        <v>1086</v>
      </c>
      <c r="H659" t="s">
        <v>23</v>
      </c>
      <c r="I659">
        <v>7</v>
      </c>
      <c r="J659">
        <v>1</v>
      </c>
      <c r="K659" t="s">
        <v>27</v>
      </c>
      <c r="L659">
        <v>1</v>
      </c>
      <c r="M659">
        <v>912</v>
      </c>
      <c r="O659">
        <v>1</v>
      </c>
      <c r="P659">
        <v>1</v>
      </c>
      <c r="Q659" t="s">
        <v>26</v>
      </c>
      <c r="R659">
        <v>4</v>
      </c>
      <c r="S659">
        <v>2532</v>
      </c>
      <c r="T659" t="s">
        <v>21</v>
      </c>
    </row>
    <row r="660" spans="1:20" x14ac:dyDescent="0.25">
      <c r="A660">
        <v>44</v>
      </c>
      <c r="B660" t="str">
        <f t="shared" si="10"/>
        <v>35-44</v>
      </c>
      <c r="C660" t="s">
        <v>21</v>
      </c>
      <c r="F660" t="s">
        <v>17</v>
      </c>
      <c r="G660">
        <v>661</v>
      </c>
      <c r="H660" t="s">
        <v>23</v>
      </c>
      <c r="I660">
        <v>9</v>
      </c>
      <c r="J660">
        <v>2</v>
      </c>
      <c r="K660" t="s">
        <v>19</v>
      </c>
      <c r="L660">
        <v>1</v>
      </c>
      <c r="M660">
        <v>913</v>
      </c>
      <c r="O660">
        <v>2</v>
      </c>
      <c r="P660">
        <v>1</v>
      </c>
      <c r="Q660" t="s">
        <v>24</v>
      </c>
      <c r="R660">
        <v>1</v>
      </c>
      <c r="S660">
        <v>2559</v>
      </c>
      <c r="T660" t="s">
        <v>16</v>
      </c>
    </row>
    <row r="661" spans="1:20" x14ac:dyDescent="0.25">
      <c r="A661">
        <v>28</v>
      </c>
      <c r="B661" t="str">
        <f t="shared" si="10"/>
        <v>25-34</v>
      </c>
      <c r="C661" t="s">
        <v>21</v>
      </c>
      <c r="F661" t="s">
        <v>17</v>
      </c>
      <c r="G661">
        <v>821</v>
      </c>
      <c r="H661" t="s">
        <v>18</v>
      </c>
      <c r="I661">
        <v>5</v>
      </c>
      <c r="J661">
        <v>4</v>
      </c>
      <c r="K661" t="s">
        <v>27</v>
      </c>
      <c r="L661">
        <v>1</v>
      </c>
      <c r="M661">
        <v>916</v>
      </c>
      <c r="O661">
        <v>1</v>
      </c>
      <c r="P661">
        <v>2</v>
      </c>
      <c r="Q661" t="s">
        <v>20</v>
      </c>
      <c r="R661">
        <v>4</v>
      </c>
      <c r="S661">
        <v>4908</v>
      </c>
      <c r="T661" t="s">
        <v>21</v>
      </c>
    </row>
    <row r="662" spans="1:20" x14ac:dyDescent="0.25">
      <c r="A662">
        <v>58</v>
      </c>
      <c r="B662" t="str">
        <f t="shared" si="10"/>
        <v>55+</v>
      </c>
      <c r="C662" t="s">
        <v>16</v>
      </c>
      <c r="F662" t="s">
        <v>22</v>
      </c>
      <c r="G662">
        <v>781</v>
      </c>
      <c r="H662" t="s">
        <v>23</v>
      </c>
      <c r="I662">
        <v>2</v>
      </c>
      <c r="J662">
        <v>1</v>
      </c>
      <c r="K662" t="s">
        <v>19</v>
      </c>
      <c r="L662">
        <v>1</v>
      </c>
      <c r="M662">
        <v>918</v>
      </c>
      <c r="O662">
        <v>4</v>
      </c>
      <c r="P662">
        <v>1</v>
      </c>
      <c r="Q662" t="s">
        <v>26</v>
      </c>
      <c r="R662">
        <v>4</v>
      </c>
      <c r="S662">
        <v>2380</v>
      </c>
      <c r="T662" t="s">
        <v>16</v>
      </c>
    </row>
    <row r="663" spans="1:20" x14ac:dyDescent="0.25">
      <c r="A663">
        <v>43</v>
      </c>
      <c r="B663" t="str">
        <f t="shared" si="10"/>
        <v>35-44</v>
      </c>
      <c r="C663" t="s">
        <v>21</v>
      </c>
      <c r="F663" t="s">
        <v>17</v>
      </c>
      <c r="G663">
        <v>177</v>
      </c>
      <c r="H663" t="s">
        <v>23</v>
      </c>
      <c r="I663">
        <v>8</v>
      </c>
      <c r="J663">
        <v>3</v>
      </c>
      <c r="K663" t="s">
        <v>19</v>
      </c>
      <c r="L663">
        <v>1</v>
      </c>
      <c r="M663">
        <v>920</v>
      </c>
      <c r="O663">
        <v>1</v>
      </c>
      <c r="P663">
        <v>2</v>
      </c>
      <c r="Q663" t="s">
        <v>28</v>
      </c>
      <c r="R663">
        <v>2</v>
      </c>
      <c r="S663">
        <v>4765</v>
      </c>
      <c r="T663" t="s">
        <v>21</v>
      </c>
    </row>
    <row r="664" spans="1:20" x14ac:dyDescent="0.25">
      <c r="A664">
        <v>20</v>
      </c>
      <c r="B664" t="str">
        <f t="shared" si="10"/>
        <v>18-24</v>
      </c>
      <c r="C664" t="s">
        <v>16</v>
      </c>
      <c r="F664" t="s">
        <v>17</v>
      </c>
      <c r="G664">
        <v>500</v>
      </c>
      <c r="H664" t="s">
        <v>18</v>
      </c>
      <c r="I664">
        <v>2</v>
      </c>
      <c r="J664">
        <v>3</v>
      </c>
      <c r="K664" t="s">
        <v>27</v>
      </c>
      <c r="L664">
        <v>1</v>
      </c>
      <c r="M664">
        <v>922</v>
      </c>
      <c r="O664">
        <v>3</v>
      </c>
      <c r="P664">
        <v>1</v>
      </c>
      <c r="Q664" t="s">
        <v>32</v>
      </c>
      <c r="R664">
        <v>3</v>
      </c>
      <c r="S664">
        <v>2044</v>
      </c>
      <c r="T664" t="s">
        <v>21</v>
      </c>
    </row>
    <row r="665" spans="1:20" x14ac:dyDescent="0.25">
      <c r="A665">
        <v>21</v>
      </c>
      <c r="B665" t="str">
        <f t="shared" si="10"/>
        <v>18-24</v>
      </c>
      <c r="C665" t="s">
        <v>16</v>
      </c>
      <c r="F665" t="s">
        <v>17</v>
      </c>
      <c r="G665">
        <v>1427</v>
      </c>
      <c r="H665" t="s">
        <v>23</v>
      </c>
      <c r="I665">
        <v>18</v>
      </c>
      <c r="J665">
        <v>1</v>
      </c>
      <c r="K665" t="s">
        <v>25</v>
      </c>
      <c r="L665">
        <v>1</v>
      </c>
      <c r="M665">
        <v>923</v>
      </c>
      <c r="O665">
        <v>4</v>
      </c>
      <c r="P665">
        <v>1</v>
      </c>
      <c r="Q665" t="s">
        <v>24</v>
      </c>
      <c r="R665">
        <v>4</v>
      </c>
      <c r="S665">
        <v>2693</v>
      </c>
      <c r="T665" t="s">
        <v>21</v>
      </c>
    </row>
    <row r="666" spans="1:20" x14ac:dyDescent="0.25">
      <c r="A666">
        <v>36</v>
      </c>
      <c r="B666" t="str">
        <f t="shared" si="10"/>
        <v>35-44</v>
      </c>
      <c r="C666" t="s">
        <v>21</v>
      </c>
      <c r="F666" t="s">
        <v>17</v>
      </c>
      <c r="G666">
        <v>1425</v>
      </c>
      <c r="H666" t="s">
        <v>23</v>
      </c>
      <c r="I666">
        <v>14</v>
      </c>
      <c r="J666">
        <v>1</v>
      </c>
      <c r="K666" t="s">
        <v>19</v>
      </c>
      <c r="L666">
        <v>1</v>
      </c>
      <c r="M666">
        <v>924</v>
      </c>
      <c r="O666">
        <v>3</v>
      </c>
      <c r="P666">
        <v>2</v>
      </c>
      <c r="Q666" t="s">
        <v>29</v>
      </c>
      <c r="R666">
        <v>4</v>
      </c>
      <c r="S666">
        <v>6586</v>
      </c>
      <c r="T666" t="s">
        <v>16</v>
      </c>
    </row>
    <row r="667" spans="1:20" x14ac:dyDescent="0.25">
      <c r="A667">
        <v>47</v>
      </c>
      <c r="B667" t="str">
        <f t="shared" si="10"/>
        <v>45-54</v>
      </c>
      <c r="C667" t="s">
        <v>21</v>
      </c>
      <c r="F667" t="s">
        <v>17</v>
      </c>
      <c r="G667">
        <v>1454</v>
      </c>
      <c r="H667" t="s">
        <v>18</v>
      </c>
      <c r="I667">
        <v>2</v>
      </c>
      <c r="J667">
        <v>4</v>
      </c>
      <c r="K667" t="s">
        <v>19</v>
      </c>
      <c r="L667">
        <v>1</v>
      </c>
      <c r="M667">
        <v>925</v>
      </c>
      <c r="O667">
        <v>4</v>
      </c>
      <c r="P667">
        <v>1</v>
      </c>
      <c r="Q667" t="s">
        <v>32</v>
      </c>
      <c r="R667">
        <v>4</v>
      </c>
      <c r="S667">
        <v>3294</v>
      </c>
      <c r="T667" t="s">
        <v>16</v>
      </c>
    </row>
    <row r="668" spans="1:20" x14ac:dyDescent="0.25">
      <c r="A668">
        <v>22</v>
      </c>
      <c r="B668" t="str">
        <f t="shared" si="10"/>
        <v>18-24</v>
      </c>
      <c r="C668" t="s">
        <v>16</v>
      </c>
      <c r="F668" t="s">
        <v>17</v>
      </c>
      <c r="G668">
        <v>617</v>
      </c>
      <c r="H668" t="s">
        <v>23</v>
      </c>
      <c r="I668">
        <v>3</v>
      </c>
      <c r="J668">
        <v>1</v>
      </c>
      <c r="K668" t="s">
        <v>19</v>
      </c>
      <c r="L668">
        <v>1</v>
      </c>
      <c r="M668">
        <v>926</v>
      </c>
      <c r="O668">
        <v>2</v>
      </c>
      <c r="P668">
        <v>2</v>
      </c>
      <c r="Q668" t="s">
        <v>28</v>
      </c>
      <c r="R668">
        <v>3</v>
      </c>
      <c r="S668">
        <v>4171</v>
      </c>
      <c r="T668" t="s">
        <v>16</v>
      </c>
    </row>
    <row r="669" spans="1:20" x14ac:dyDescent="0.25">
      <c r="A669">
        <v>41</v>
      </c>
      <c r="B669" t="str">
        <f t="shared" si="10"/>
        <v>35-44</v>
      </c>
      <c r="C669" t="s">
        <v>16</v>
      </c>
      <c r="F669" t="s">
        <v>17</v>
      </c>
      <c r="G669">
        <v>1085</v>
      </c>
      <c r="H669" t="s">
        <v>23</v>
      </c>
      <c r="I669">
        <v>2</v>
      </c>
      <c r="J669">
        <v>4</v>
      </c>
      <c r="K669" t="s">
        <v>19</v>
      </c>
      <c r="L669">
        <v>1</v>
      </c>
      <c r="M669">
        <v>927</v>
      </c>
      <c r="O669">
        <v>2</v>
      </c>
      <c r="P669">
        <v>1</v>
      </c>
      <c r="Q669" t="s">
        <v>26</v>
      </c>
      <c r="R669">
        <v>4</v>
      </c>
      <c r="S669">
        <v>2778</v>
      </c>
      <c r="T669" t="s">
        <v>16</v>
      </c>
    </row>
    <row r="670" spans="1:20" x14ac:dyDescent="0.25">
      <c r="A670">
        <v>28</v>
      </c>
      <c r="B670" t="str">
        <f t="shared" si="10"/>
        <v>25-34</v>
      </c>
      <c r="C670" t="s">
        <v>21</v>
      </c>
      <c r="F670" t="s">
        <v>17</v>
      </c>
      <c r="G670">
        <v>995</v>
      </c>
      <c r="H670" t="s">
        <v>23</v>
      </c>
      <c r="I670">
        <v>9</v>
      </c>
      <c r="J670">
        <v>3</v>
      </c>
      <c r="K670" t="s">
        <v>27</v>
      </c>
      <c r="L670">
        <v>1</v>
      </c>
      <c r="M670">
        <v>930</v>
      </c>
      <c r="O670">
        <v>3</v>
      </c>
      <c r="P670">
        <v>1</v>
      </c>
      <c r="Q670" t="s">
        <v>24</v>
      </c>
      <c r="R670">
        <v>3</v>
      </c>
      <c r="S670">
        <v>2377</v>
      </c>
      <c r="T670" t="s">
        <v>21</v>
      </c>
    </row>
    <row r="671" spans="1:20" x14ac:dyDescent="0.25">
      <c r="A671">
        <v>39</v>
      </c>
      <c r="B671" t="str">
        <f t="shared" si="10"/>
        <v>35-44</v>
      </c>
      <c r="C671" t="s">
        <v>16</v>
      </c>
      <c r="F671" t="s">
        <v>17</v>
      </c>
      <c r="G671">
        <v>1122</v>
      </c>
      <c r="H671" t="s">
        <v>23</v>
      </c>
      <c r="I671">
        <v>6</v>
      </c>
      <c r="J671">
        <v>3</v>
      </c>
      <c r="K671" t="s">
        <v>27</v>
      </c>
      <c r="L671">
        <v>1</v>
      </c>
      <c r="M671">
        <v>932</v>
      </c>
      <c r="O671">
        <v>4</v>
      </c>
      <c r="P671">
        <v>1</v>
      </c>
      <c r="Q671" t="s">
        <v>26</v>
      </c>
      <c r="R671">
        <v>1</v>
      </c>
      <c r="S671">
        <v>2404</v>
      </c>
      <c r="T671" t="s">
        <v>16</v>
      </c>
    </row>
    <row r="672" spans="1:20" x14ac:dyDescent="0.25">
      <c r="A672">
        <v>27</v>
      </c>
      <c r="B672" t="str">
        <f t="shared" si="10"/>
        <v>25-34</v>
      </c>
      <c r="C672" t="s">
        <v>21</v>
      </c>
      <c r="F672" t="s">
        <v>17</v>
      </c>
      <c r="G672">
        <v>618</v>
      </c>
      <c r="H672" t="s">
        <v>23</v>
      </c>
      <c r="I672">
        <v>4</v>
      </c>
      <c r="J672">
        <v>3</v>
      </c>
      <c r="K672" t="s">
        <v>19</v>
      </c>
      <c r="L672">
        <v>1</v>
      </c>
      <c r="M672">
        <v>933</v>
      </c>
      <c r="O672">
        <v>2</v>
      </c>
      <c r="P672">
        <v>1</v>
      </c>
      <c r="Q672" t="s">
        <v>24</v>
      </c>
      <c r="R672">
        <v>3</v>
      </c>
      <c r="S672">
        <v>2318</v>
      </c>
      <c r="T672" t="s">
        <v>21</v>
      </c>
    </row>
    <row r="673" spans="1:20" x14ac:dyDescent="0.25">
      <c r="A673">
        <v>34</v>
      </c>
      <c r="B673" t="str">
        <f t="shared" si="10"/>
        <v>25-34</v>
      </c>
      <c r="C673" t="s">
        <v>21</v>
      </c>
      <c r="F673" t="s">
        <v>17</v>
      </c>
      <c r="G673">
        <v>546</v>
      </c>
      <c r="H673" t="s">
        <v>23</v>
      </c>
      <c r="I673">
        <v>10</v>
      </c>
      <c r="J673">
        <v>3</v>
      </c>
      <c r="K673" t="s">
        <v>19</v>
      </c>
      <c r="L673">
        <v>1</v>
      </c>
      <c r="M673">
        <v>934</v>
      </c>
      <c r="O673">
        <v>2</v>
      </c>
      <c r="P673">
        <v>1</v>
      </c>
      <c r="Q673" t="s">
        <v>26</v>
      </c>
      <c r="R673">
        <v>2</v>
      </c>
      <c r="S673">
        <v>2008</v>
      </c>
      <c r="T673" t="s">
        <v>21</v>
      </c>
    </row>
    <row r="674" spans="1:20" x14ac:dyDescent="0.25">
      <c r="A674">
        <v>42</v>
      </c>
      <c r="B674" t="str">
        <f t="shared" si="10"/>
        <v>35-44</v>
      </c>
      <c r="C674" t="s">
        <v>21</v>
      </c>
      <c r="F674" t="s">
        <v>17</v>
      </c>
      <c r="G674">
        <v>462</v>
      </c>
      <c r="H674" t="s">
        <v>18</v>
      </c>
      <c r="I674">
        <v>14</v>
      </c>
      <c r="J674">
        <v>2</v>
      </c>
      <c r="K674" t="s">
        <v>27</v>
      </c>
      <c r="L674">
        <v>1</v>
      </c>
      <c r="M674">
        <v>936</v>
      </c>
      <c r="O674">
        <v>3</v>
      </c>
      <c r="P674">
        <v>2</v>
      </c>
      <c r="Q674" t="s">
        <v>20</v>
      </c>
      <c r="R674">
        <v>3</v>
      </c>
      <c r="S674">
        <v>6244</v>
      </c>
      <c r="T674" t="s">
        <v>21</v>
      </c>
    </row>
    <row r="675" spans="1:20" x14ac:dyDescent="0.25">
      <c r="A675">
        <v>33</v>
      </c>
      <c r="B675" t="str">
        <f t="shared" si="10"/>
        <v>25-34</v>
      </c>
      <c r="C675" t="s">
        <v>21</v>
      </c>
      <c r="F675" t="s">
        <v>17</v>
      </c>
      <c r="G675">
        <v>1198</v>
      </c>
      <c r="H675" t="s">
        <v>23</v>
      </c>
      <c r="I675">
        <v>1</v>
      </c>
      <c r="J675">
        <v>4</v>
      </c>
      <c r="K675" t="s">
        <v>25</v>
      </c>
      <c r="L675">
        <v>1</v>
      </c>
      <c r="M675">
        <v>939</v>
      </c>
      <c r="O675">
        <v>3</v>
      </c>
      <c r="P675">
        <v>1</v>
      </c>
      <c r="Q675" t="s">
        <v>24</v>
      </c>
      <c r="R675">
        <v>1</v>
      </c>
      <c r="S675">
        <v>2799</v>
      </c>
      <c r="T675" t="s">
        <v>16</v>
      </c>
    </row>
    <row r="676" spans="1:20" x14ac:dyDescent="0.25">
      <c r="A676">
        <v>58</v>
      </c>
      <c r="B676" t="str">
        <f t="shared" si="10"/>
        <v>55+</v>
      </c>
      <c r="C676" t="s">
        <v>21</v>
      </c>
      <c r="F676" t="s">
        <v>17</v>
      </c>
      <c r="G676">
        <v>1272</v>
      </c>
      <c r="H676" t="s">
        <v>23</v>
      </c>
      <c r="I676">
        <v>5</v>
      </c>
      <c r="J676">
        <v>3</v>
      </c>
      <c r="K676" t="s">
        <v>35</v>
      </c>
      <c r="L676">
        <v>1</v>
      </c>
      <c r="M676">
        <v>940</v>
      </c>
      <c r="O676">
        <v>3</v>
      </c>
      <c r="P676">
        <v>3</v>
      </c>
      <c r="Q676" t="s">
        <v>29</v>
      </c>
      <c r="R676">
        <v>2</v>
      </c>
      <c r="S676">
        <v>10552</v>
      </c>
      <c r="T676" t="s">
        <v>16</v>
      </c>
    </row>
    <row r="677" spans="1:20" x14ac:dyDescent="0.25">
      <c r="A677">
        <v>31</v>
      </c>
      <c r="B677" t="str">
        <f t="shared" si="10"/>
        <v>25-34</v>
      </c>
      <c r="C677" t="s">
        <v>21</v>
      </c>
      <c r="F677" t="s">
        <v>17</v>
      </c>
      <c r="G677">
        <v>154</v>
      </c>
      <c r="H677" t="s">
        <v>18</v>
      </c>
      <c r="I677">
        <v>7</v>
      </c>
      <c r="J677">
        <v>4</v>
      </c>
      <c r="K677" t="s">
        <v>19</v>
      </c>
      <c r="L677">
        <v>1</v>
      </c>
      <c r="M677">
        <v>941</v>
      </c>
      <c r="O677">
        <v>2</v>
      </c>
      <c r="P677">
        <v>1</v>
      </c>
      <c r="Q677" t="s">
        <v>32</v>
      </c>
      <c r="R677">
        <v>3</v>
      </c>
      <c r="S677">
        <v>2329</v>
      </c>
      <c r="T677" t="s">
        <v>21</v>
      </c>
    </row>
    <row r="678" spans="1:20" x14ac:dyDescent="0.25">
      <c r="A678">
        <v>35</v>
      </c>
      <c r="B678" t="str">
        <f t="shared" si="10"/>
        <v>35-44</v>
      </c>
      <c r="C678" t="s">
        <v>21</v>
      </c>
      <c r="F678" t="s">
        <v>17</v>
      </c>
      <c r="G678">
        <v>1137</v>
      </c>
      <c r="H678" t="s">
        <v>23</v>
      </c>
      <c r="I678">
        <v>21</v>
      </c>
      <c r="J678">
        <v>1</v>
      </c>
      <c r="K678" t="s">
        <v>19</v>
      </c>
      <c r="L678">
        <v>1</v>
      </c>
      <c r="M678">
        <v>942</v>
      </c>
      <c r="O678">
        <v>4</v>
      </c>
      <c r="P678">
        <v>2</v>
      </c>
      <c r="Q678" t="s">
        <v>29</v>
      </c>
      <c r="R678">
        <v>4</v>
      </c>
      <c r="S678">
        <v>4014</v>
      </c>
      <c r="T678" t="s">
        <v>16</v>
      </c>
    </row>
    <row r="679" spans="1:20" x14ac:dyDescent="0.25">
      <c r="A679">
        <v>49</v>
      </c>
      <c r="B679" t="str">
        <f t="shared" si="10"/>
        <v>45-54</v>
      </c>
      <c r="C679" t="s">
        <v>21</v>
      </c>
      <c r="F679" t="s">
        <v>17</v>
      </c>
      <c r="G679">
        <v>527</v>
      </c>
      <c r="H679" t="s">
        <v>23</v>
      </c>
      <c r="I679">
        <v>8</v>
      </c>
      <c r="J679">
        <v>2</v>
      </c>
      <c r="K679" t="s">
        <v>25</v>
      </c>
      <c r="L679">
        <v>1</v>
      </c>
      <c r="M679">
        <v>944</v>
      </c>
      <c r="O679">
        <v>1</v>
      </c>
      <c r="P679">
        <v>3</v>
      </c>
      <c r="Q679" t="s">
        <v>26</v>
      </c>
      <c r="R679">
        <v>2</v>
      </c>
      <c r="S679">
        <v>7403</v>
      </c>
      <c r="T679" t="s">
        <v>21</v>
      </c>
    </row>
    <row r="680" spans="1:20" x14ac:dyDescent="0.25">
      <c r="A680">
        <v>48</v>
      </c>
      <c r="B680" t="str">
        <f t="shared" si="10"/>
        <v>45-54</v>
      </c>
      <c r="C680" t="s">
        <v>21</v>
      </c>
      <c r="F680" t="s">
        <v>17</v>
      </c>
      <c r="G680">
        <v>1469</v>
      </c>
      <c r="H680" t="s">
        <v>23</v>
      </c>
      <c r="I680">
        <v>20</v>
      </c>
      <c r="J680">
        <v>4</v>
      </c>
      <c r="K680" t="s">
        <v>27</v>
      </c>
      <c r="L680">
        <v>1</v>
      </c>
      <c r="M680">
        <v>945</v>
      </c>
      <c r="O680">
        <v>4</v>
      </c>
      <c r="P680">
        <v>1</v>
      </c>
      <c r="Q680" t="s">
        <v>24</v>
      </c>
      <c r="R680">
        <v>3</v>
      </c>
      <c r="S680">
        <v>2259</v>
      </c>
      <c r="T680" t="s">
        <v>21</v>
      </c>
    </row>
    <row r="681" spans="1:20" x14ac:dyDescent="0.25">
      <c r="A681">
        <v>31</v>
      </c>
      <c r="B681" t="str">
        <f t="shared" si="10"/>
        <v>25-34</v>
      </c>
      <c r="C681" t="s">
        <v>21</v>
      </c>
      <c r="F681" t="s">
        <v>30</v>
      </c>
      <c r="G681">
        <v>1188</v>
      </c>
      <c r="H681" t="s">
        <v>18</v>
      </c>
      <c r="I681">
        <v>20</v>
      </c>
      <c r="J681">
        <v>2</v>
      </c>
      <c r="K681" t="s">
        <v>34</v>
      </c>
      <c r="L681">
        <v>1</v>
      </c>
      <c r="M681">
        <v>947</v>
      </c>
      <c r="O681">
        <v>4</v>
      </c>
      <c r="P681">
        <v>2</v>
      </c>
      <c r="Q681" t="s">
        <v>20</v>
      </c>
      <c r="R681">
        <v>3</v>
      </c>
      <c r="S681">
        <v>6932</v>
      </c>
      <c r="T681" t="s">
        <v>21</v>
      </c>
    </row>
    <row r="682" spans="1:20" x14ac:dyDescent="0.25">
      <c r="A682">
        <v>36</v>
      </c>
      <c r="B682" t="str">
        <f t="shared" si="10"/>
        <v>35-44</v>
      </c>
      <c r="C682" t="s">
        <v>21</v>
      </c>
      <c r="F682" t="s">
        <v>17</v>
      </c>
      <c r="G682">
        <v>188</v>
      </c>
      <c r="H682" t="s">
        <v>23</v>
      </c>
      <c r="I682">
        <v>7</v>
      </c>
      <c r="J682">
        <v>4</v>
      </c>
      <c r="K682" t="s">
        <v>25</v>
      </c>
      <c r="L682">
        <v>1</v>
      </c>
      <c r="M682">
        <v>949</v>
      </c>
      <c r="O682">
        <v>2</v>
      </c>
      <c r="P682">
        <v>1</v>
      </c>
      <c r="Q682" t="s">
        <v>24</v>
      </c>
      <c r="R682">
        <v>4</v>
      </c>
      <c r="S682">
        <v>4678</v>
      </c>
      <c r="T682" t="s">
        <v>21</v>
      </c>
    </row>
    <row r="683" spans="1:20" x14ac:dyDescent="0.25">
      <c r="A683">
        <v>38</v>
      </c>
      <c r="B683" t="str">
        <f t="shared" si="10"/>
        <v>35-44</v>
      </c>
      <c r="C683" t="s">
        <v>21</v>
      </c>
      <c r="F683" t="s">
        <v>17</v>
      </c>
      <c r="G683">
        <v>1333</v>
      </c>
      <c r="H683" t="s">
        <v>23</v>
      </c>
      <c r="I683">
        <v>1</v>
      </c>
      <c r="J683">
        <v>3</v>
      </c>
      <c r="K683" t="s">
        <v>35</v>
      </c>
      <c r="L683">
        <v>1</v>
      </c>
      <c r="M683">
        <v>950</v>
      </c>
      <c r="O683">
        <v>4</v>
      </c>
      <c r="P683">
        <v>3</v>
      </c>
      <c r="Q683" t="s">
        <v>33</v>
      </c>
      <c r="R683">
        <v>1</v>
      </c>
      <c r="S683">
        <v>13582</v>
      </c>
      <c r="T683" t="s">
        <v>21</v>
      </c>
    </row>
    <row r="684" spans="1:20" x14ac:dyDescent="0.25">
      <c r="A684">
        <v>32</v>
      </c>
      <c r="B684" t="str">
        <f t="shared" si="10"/>
        <v>25-34</v>
      </c>
      <c r="C684" t="s">
        <v>21</v>
      </c>
      <c r="F684" t="s">
        <v>30</v>
      </c>
      <c r="G684">
        <v>1184</v>
      </c>
      <c r="H684" t="s">
        <v>23</v>
      </c>
      <c r="I684">
        <v>1</v>
      </c>
      <c r="J684">
        <v>3</v>
      </c>
      <c r="K684" t="s">
        <v>19</v>
      </c>
      <c r="L684">
        <v>1</v>
      </c>
      <c r="M684">
        <v>951</v>
      </c>
      <c r="O684">
        <v>3</v>
      </c>
      <c r="P684">
        <v>1</v>
      </c>
      <c r="Q684" t="s">
        <v>26</v>
      </c>
      <c r="R684">
        <v>2</v>
      </c>
      <c r="S684">
        <v>2332</v>
      </c>
      <c r="T684" t="s">
        <v>21</v>
      </c>
    </row>
    <row r="685" spans="1:20" x14ac:dyDescent="0.25">
      <c r="A685">
        <v>25</v>
      </c>
      <c r="B685" t="str">
        <f t="shared" si="10"/>
        <v>25-34</v>
      </c>
      <c r="C685" t="s">
        <v>16</v>
      </c>
      <c r="F685" t="s">
        <v>17</v>
      </c>
      <c r="G685">
        <v>867</v>
      </c>
      <c r="H685" t="s">
        <v>18</v>
      </c>
      <c r="I685">
        <v>19</v>
      </c>
      <c r="J685">
        <v>2</v>
      </c>
      <c r="K685" t="s">
        <v>34</v>
      </c>
      <c r="L685">
        <v>1</v>
      </c>
      <c r="M685">
        <v>952</v>
      </c>
      <c r="O685">
        <v>3</v>
      </c>
      <c r="P685">
        <v>1</v>
      </c>
      <c r="Q685" t="s">
        <v>32</v>
      </c>
      <c r="R685">
        <v>2</v>
      </c>
      <c r="S685">
        <v>2413</v>
      </c>
      <c r="T685" t="s">
        <v>16</v>
      </c>
    </row>
    <row r="686" spans="1:20" x14ac:dyDescent="0.25">
      <c r="A686">
        <v>40</v>
      </c>
      <c r="B686" t="str">
        <f t="shared" si="10"/>
        <v>35-44</v>
      </c>
      <c r="C686" t="s">
        <v>21</v>
      </c>
      <c r="F686" t="s">
        <v>17</v>
      </c>
      <c r="G686">
        <v>658</v>
      </c>
      <c r="H686" t="s">
        <v>18</v>
      </c>
      <c r="I686">
        <v>10</v>
      </c>
      <c r="J686">
        <v>4</v>
      </c>
      <c r="K686" t="s">
        <v>34</v>
      </c>
      <c r="L686">
        <v>1</v>
      </c>
      <c r="M686">
        <v>954</v>
      </c>
      <c r="O686">
        <v>1</v>
      </c>
      <c r="P686">
        <v>3</v>
      </c>
      <c r="Q686" t="s">
        <v>20</v>
      </c>
      <c r="R686">
        <v>2</v>
      </c>
      <c r="S686">
        <v>9705</v>
      </c>
      <c r="T686" t="s">
        <v>21</v>
      </c>
    </row>
    <row r="687" spans="1:20" x14ac:dyDescent="0.25">
      <c r="A687">
        <v>26</v>
      </c>
      <c r="B687" t="str">
        <f t="shared" si="10"/>
        <v>25-34</v>
      </c>
      <c r="C687" t="s">
        <v>21</v>
      </c>
      <c r="F687" t="s">
        <v>22</v>
      </c>
      <c r="G687">
        <v>1283</v>
      </c>
      <c r="H687" t="s">
        <v>18</v>
      </c>
      <c r="I687">
        <v>1</v>
      </c>
      <c r="J687">
        <v>3</v>
      </c>
      <c r="K687" t="s">
        <v>27</v>
      </c>
      <c r="L687">
        <v>1</v>
      </c>
      <c r="M687">
        <v>956</v>
      </c>
      <c r="O687">
        <v>3</v>
      </c>
      <c r="P687">
        <v>2</v>
      </c>
      <c r="Q687" t="s">
        <v>20</v>
      </c>
      <c r="R687">
        <v>1</v>
      </c>
      <c r="S687">
        <v>4294</v>
      </c>
      <c r="T687" t="s">
        <v>21</v>
      </c>
    </row>
    <row r="688" spans="1:20" x14ac:dyDescent="0.25">
      <c r="A688">
        <v>41</v>
      </c>
      <c r="B688" t="str">
        <f t="shared" si="10"/>
        <v>35-44</v>
      </c>
      <c r="C688" t="s">
        <v>21</v>
      </c>
      <c r="F688" t="s">
        <v>17</v>
      </c>
      <c r="G688">
        <v>263</v>
      </c>
      <c r="H688" t="s">
        <v>23</v>
      </c>
      <c r="I688">
        <v>6</v>
      </c>
      <c r="J688">
        <v>3</v>
      </c>
      <c r="K688" t="s">
        <v>27</v>
      </c>
      <c r="L688">
        <v>1</v>
      </c>
      <c r="M688">
        <v>957</v>
      </c>
      <c r="O688">
        <v>4</v>
      </c>
      <c r="P688">
        <v>1</v>
      </c>
      <c r="Q688" t="s">
        <v>26</v>
      </c>
      <c r="R688">
        <v>1</v>
      </c>
      <c r="S688">
        <v>4721</v>
      </c>
      <c r="T688" t="s">
        <v>16</v>
      </c>
    </row>
    <row r="689" spans="1:20" x14ac:dyDescent="0.25">
      <c r="A689">
        <v>36</v>
      </c>
      <c r="B689" t="str">
        <f t="shared" si="10"/>
        <v>35-44</v>
      </c>
      <c r="C689" t="s">
        <v>21</v>
      </c>
      <c r="F689" t="s">
        <v>17</v>
      </c>
      <c r="G689">
        <v>938</v>
      </c>
      <c r="H689" t="s">
        <v>23</v>
      </c>
      <c r="I689">
        <v>2</v>
      </c>
      <c r="J689">
        <v>4</v>
      </c>
      <c r="K689" t="s">
        <v>27</v>
      </c>
      <c r="L689">
        <v>1</v>
      </c>
      <c r="M689">
        <v>958</v>
      </c>
      <c r="O689">
        <v>3</v>
      </c>
      <c r="P689">
        <v>1</v>
      </c>
      <c r="Q689" t="s">
        <v>26</v>
      </c>
      <c r="R689">
        <v>3</v>
      </c>
      <c r="S689">
        <v>2519</v>
      </c>
      <c r="T689" t="s">
        <v>21</v>
      </c>
    </row>
    <row r="690" spans="1:20" x14ac:dyDescent="0.25">
      <c r="A690">
        <v>19</v>
      </c>
      <c r="B690" t="str">
        <f t="shared" si="10"/>
        <v>18-24</v>
      </c>
      <c r="C690" t="s">
        <v>16</v>
      </c>
      <c r="F690" t="s">
        <v>17</v>
      </c>
      <c r="G690">
        <v>419</v>
      </c>
      <c r="H690" t="s">
        <v>18</v>
      </c>
      <c r="I690">
        <v>21</v>
      </c>
      <c r="J690">
        <v>3</v>
      </c>
      <c r="K690" t="s">
        <v>25</v>
      </c>
      <c r="L690">
        <v>1</v>
      </c>
      <c r="M690">
        <v>959</v>
      </c>
      <c r="O690">
        <v>4</v>
      </c>
      <c r="P690">
        <v>1</v>
      </c>
      <c r="Q690" t="s">
        <v>32</v>
      </c>
      <c r="R690">
        <v>2</v>
      </c>
      <c r="S690">
        <v>2121</v>
      </c>
      <c r="T690" t="s">
        <v>16</v>
      </c>
    </row>
    <row r="691" spans="1:20" x14ac:dyDescent="0.25">
      <c r="A691">
        <v>20</v>
      </c>
      <c r="B691" t="str">
        <f t="shared" si="10"/>
        <v>18-24</v>
      </c>
      <c r="C691" t="s">
        <v>16</v>
      </c>
      <c r="F691" t="s">
        <v>17</v>
      </c>
      <c r="G691">
        <v>129</v>
      </c>
      <c r="H691" t="s">
        <v>23</v>
      </c>
      <c r="I691">
        <v>4</v>
      </c>
      <c r="J691">
        <v>3</v>
      </c>
      <c r="K691" t="s">
        <v>35</v>
      </c>
      <c r="L691">
        <v>1</v>
      </c>
      <c r="M691">
        <v>960</v>
      </c>
      <c r="O691">
        <v>1</v>
      </c>
      <c r="P691">
        <v>1</v>
      </c>
      <c r="Q691" t="s">
        <v>26</v>
      </c>
      <c r="R691">
        <v>1</v>
      </c>
      <c r="S691">
        <v>2973</v>
      </c>
      <c r="T691" t="s">
        <v>21</v>
      </c>
    </row>
    <row r="692" spans="1:20" x14ac:dyDescent="0.25">
      <c r="A692">
        <v>31</v>
      </c>
      <c r="B692" t="str">
        <f t="shared" si="10"/>
        <v>25-34</v>
      </c>
      <c r="C692" t="s">
        <v>21</v>
      </c>
      <c r="F692" t="s">
        <v>17</v>
      </c>
      <c r="G692">
        <v>616</v>
      </c>
      <c r="H692" t="s">
        <v>23</v>
      </c>
      <c r="I692">
        <v>12</v>
      </c>
      <c r="J692">
        <v>3</v>
      </c>
      <c r="K692" t="s">
        <v>27</v>
      </c>
      <c r="L692">
        <v>1</v>
      </c>
      <c r="M692">
        <v>961</v>
      </c>
      <c r="O692">
        <v>4</v>
      </c>
      <c r="P692">
        <v>2</v>
      </c>
      <c r="Q692" t="s">
        <v>29</v>
      </c>
      <c r="R692">
        <v>4</v>
      </c>
      <c r="S692">
        <v>5855</v>
      </c>
      <c r="T692" t="s">
        <v>16</v>
      </c>
    </row>
    <row r="693" spans="1:20" x14ac:dyDescent="0.25">
      <c r="A693">
        <v>40</v>
      </c>
      <c r="B693" t="str">
        <f t="shared" si="10"/>
        <v>35-44</v>
      </c>
      <c r="C693" t="s">
        <v>21</v>
      </c>
      <c r="F693" t="s">
        <v>22</v>
      </c>
      <c r="G693">
        <v>1469</v>
      </c>
      <c r="H693" t="s">
        <v>23</v>
      </c>
      <c r="I693">
        <v>9</v>
      </c>
      <c r="J693">
        <v>4</v>
      </c>
      <c r="K693" t="s">
        <v>27</v>
      </c>
      <c r="L693">
        <v>1</v>
      </c>
      <c r="M693">
        <v>964</v>
      </c>
      <c r="O693">
        <v>4</v>
      </c>
      <c r="P693">
        <v>1</v>
      </c>
      <c r="Q693" t="s">
        <v>24</v>
      </c>
      <c r="R693">
        <v>2</v>
      </c>
      <c r="S693">
        <v>3617</v>
      </c>
      <c r="T693" t="s">
        <v>16</v>
      </c>
    </row>
    <row r="694" spans="1:20" x14ac:dyDescent="0.25">
      <c r="A694">
        <v>32</v>
      </c>
      <c r="B694" t="str">
        <f t="shared" si="10"/>
        <v>25-34</v>
      </c>
      <c r="C694" t="s">
        <v>21</v>
      </c>
      <c r="F694" t="s">
        <v>17</v>
      </c>
      <c r="G694">
        <v>498</v>
      </c>
      <c r="H694" t="s">
        <v>23</v>
      </c>
      <c r="I694">
        <v>3</v>
      </c>
      <c r="J694">
        <v>4</v>
      </c>
      <c r="K694" t="s">
        <v>27</v>
      </c>
      <c r="L694">
        <v>1</v>
      </c>
      <c r="M694">
        <v>966</v>
      </c>
      <c r="O694">
        <v>3</v>
      </c>
      <c r="P694">
        <v>2</v>
      </c>
      <c r="Q694" t="s">
        <v>28</v>
      </c>
      <c r="R694">
        <v>1</v>
      </c>
      <c r="S694">
        <v>6725</v>
      </c>
      <c r="T694" t="s">
        <v>21</v>
      </c>
    </row>
    <row r="695" spans="1:20" x14ac:dyDescent="0.25">
      <c r="A695">
        <v>36</v>
      </c>
      <c r="B695" t="str">
        <f t="shared" si="10"/>
        <v>35-44</v>
      </c>
      <c r="C695" t="s">
        <v>16</v>
      </c>
      <c r="F695" t="s">
        <v>17</v>
      </c>
      <c r="G695">
        <v>530</v>
      </c>
      <c r="H695" t="s">
        <v>18</v>
      </c>
      <c r="I695">
        <v>3</v>
      </c>
      <c r="J695">
        <v>1</v>
      </c>
      <c r="K695" t="s">
        <v>19</v>
      </c>
      <c r="L695">
        <v>1</v>
      </c>
      <c r="M695">
        <v>967</v>
      </c>
      <c r="O695">
        <v>3</v>
      </c>
      <c r="P695">
        <v>3</v>
      </c>
      <c r="Q695" t="s">
        <v>20</v>
      </c>
      <c r="R695">
        <v>4</v>
      </c>
      <c r="S695">
        <v>10325</v>
      </c>
      <c r="T695" t="s">
        <v>16</v>
      </c>
    </row>
    <row r="696" spans="1:20" x14ac:dyDescent="0.25">
      <c r="A696">
        <v>33</v>
      </c>
      <c r="B696" t="str">
        <f t="shared" si="10"/>
        <v>25-34</v>
      </c>
      <c r="C696" t="s">
        <v>21</v>
      </c>
      <c r="F696" t="s">
        <v>17</v>
      </c>
      <c r="G696">
        <v>1069</v>
      </c>
      <c r="H696" t="s">
        <v>23</v>
      </c>
      <c r="I696">
        <v>1</v>
      </c>
      <c r="J696">
        <v>3</v>
      </c>
      <c r="K696" t="s">
        <v>19</v>
      </c>
      <c r="L696">
        <v>1</v>
      </c>
      <c r="M696">
        <v>969</v>
      </c>
      <c r="O696">
        <v>2</v>
      </c>
      <c r="P696">
        <v>2</v>
      </c>
      <c r="Q696" t="s">
        <v>29</v>
      </c>
      <c r="R696">
        <v>4</v>
      </c>
      <c r="S696">
        <v>6949</v>
      </c>
      <c r="T696" t="s">
        <v>21</v>
      </c>
    </row>
    <row r="697" spans="1:20" x14ac:dyDescent="0.25">
      <c r="A697">
        <v>37</v>
      </c>
      <c r="B697" t="str">
        <f t="shared" si="10"/>
        <v>35-44</v>
      </c>
      <c r="C697" t="s">
        <v>16</v>
      </c>
      <c r="F697" t="s">
        <v>17</v>
      </c>
      <c r="G697">
        <v>625</v>
      </c>
      <c r="H697" t="s">
        <v>18</v>
      </c>
      <c r="I697">
        <v>1</v>
      </c>
      <c r="J697">
        <v>4</v>
      </c>
      <c r="K697" t="s">
        <v>19</v>
      </c>
      <c r="L697">
        <v>1</v>
      </c>
      <c r="M697">
        <v>970</v>
      </c>
      <c r="O697">
        <v>1</v>
      </c>
      <c r="P697">
        <v>3</v>
      </c>
      <c r="Q697" t="s">
        <v>20</v>
      </c>
      <c r="R697">
        <v>3</v>
      </c>
      <c r="S697">
        <v>10609</v>
      </c>
      <c r="T697" t="s">
        <v>21</v>
      </c>
    </row>
    <row r="698" spans="1:20" x14ac:dyDescent="0.25">
      <c r="A698">
        <v>45</v>
      </c>
      <c r="B698" t="str">
        <f t="shared" si="10"/>
        <v>45-54</v>
      </c>
      <c r="C698" t="s">
        <v>21</v>
      </c>
      <c r="F698" t="s">
        <v>30</v>
      </c>
      <c r="G698">
        <v>805</v>
      </c>
      <c r="H698" t="s">
        <v>23</v>
      </c>
      <c r="I698">
        <v>4</v>
      </c>
      <c r="J698">
        <v>2</v>
      </c>
      <c r="K698" t="s">
        <v>19</v>
      </c>
      <c r="L698">
        <v>1</v>
      </c>
      <c r="M698">
        <v>972</v>
      </c>
      <c r="O698">
        <v>3</v>
      </c>
      <c r="P698">
        <v>2</v>
      </c>
      <c r="Q698" t="s">
        <v>26</v>
      </c>
      <c r="R698">
        <v>2</v>
      </c>
      <c r="S698">
        <v>4447</v>
      </c>
      <c r="T698" t="s">
        <v>21</v>
      </c>
    </row>
    <row r="699" spans="1:20" x14ac:dyDescent="0.25">
      <c r="A699">
        <v>29</v>
      </c>
      <c r="B699" t="str">
        <f t="shared" si="10"/>
        <v>25-34</v>
      </c>
      <c r="C699" t="s">
        <v>21</v>
      </c>
      <c r="F699" t="s">
        <v>22</v>
      </c>
      <c r="G699">
        <v>1404</v>
      </c>
      <c r="H699" t="s">
        <v>18</v>
      </c>
      <c r="I699">
        <v>20</v>
      </c>
      <c r="J699">
        <v>3</v>
      </c>
      <c r="K699" t="s">
        <v>35</v>
      </c>
      <c r="L699">
        <v>1</v>
      </c>
      <c r="M699">
        <v>974</v>
      </c>
      <c r="O699">
        <v>3</v>
      </c>
      <c r="P699">
        <v>1</v>
      </c>
      <c r="Q699" t="s">
        <v>32</v>
      </c>
      <c r="R699">
        <v>4</v>
      </c>
      <c r="S699">
        <v>2157</v>
      </c>
      <c r="T699" t="s">
        <v>21</v>
      </c>
    </row>
    <row r="700" spans="1:20" x14ac:dyDescent="0.25">
      <c r="A700">
        <v>35</v>
      </c>
      <c r="B700" t="str">
        <f t="shared" si="10"/>
        <v>35-44</v>
      </c>
      <c r="C700" t="s">
        <v>21</v>
      </c>
      <c r="F700" t="s">
        <v>17</v>
      </c>
      <c r="G700">
        <v>1219</v>
      </c>
      <c r="H700" t="s">
        <v>18</v>
      </c>
      <c r="I700">
        <v>18</v>
      </c>
      <c r="J700">
        <v>3</v>
      </c>
      <c r="K700" t="s">
        <v>27</v>
      </c>
      <c r="L700">
        <v>1</v>
      </c>
      <c r="M700">
        <v>975</v>
      </c>
      <c r="O700">
        <v>3</v>
      </c>
      <c r="P700">
        <v>2</v>
      </c>
      <c r="Q700" t="s">
        <v>20</v>
      </c>
      <c r="R700">
        <v>3</v>
      </c>
      <c r="S700">
        <v>4601</v>
      </c>
      <c r="T700" t="s">
        <v>21</v>
      </c>
    </row>
    <row r="701" spans="1:20" x14ac:dyDescent="0.25">
      <c r="A701">
        <v>52</v>
      </c>
      <c r="B701" t="str">
        <f t="shared" si="10"/>
        <v>45-54</v>
      </c>
      <c r="C701" t="s">
        <v>21</v>
      </c>
      <c r="F701" t="s">
        <v>17</v>
      </c>
      <c r="G701">
        <v>1053</v>
      </c>
      <c r="H701" t="s">
        <v>23</v>
      </c>
      <c r="I701">
        <v>1</v>
      </c>
      <c r="J701">
        <v>2</v>
      </c>
      <c r="K701" t="s">
        <v>19</v>
      </c>
      <c r="L701">
        <v>1</v>
      </c>
      <c r="M701">
        <v>976</v>
      </c>
      <c r="O701">
        <v>4</v>
      </c>
      <c r="P701">
        <v>4</v>
      </c>
      <c r="Q701" t="s">
        <v>31</v>
      </c>
      <c r="R701">
        <v>4</v>
      </c>
      <c r="S701">
        <v>17099</v>
      </c>
      <c r="T701" t="s">
        <v>21</v>
      </c>
    </row>
    <row r="702" spans="1:20" x14ac:dyDescent="0.25">
      <c r="A702">
        <v>58</v>
      </c>
      <c r="B702" t="str">
        <f t="shared" si="10"/>
        <v>55+</v>
      </c>
      <c r="C702" t="s">
        <v>16</v>
      </c>
      <c r="F702" t="s">
        <v>17</v>
      </c>
      <c r="G702">
        <v>289</v>
      </c>
      <c r="H702" t="s">
        <v>23</v>
      </c>
      <c r="I702">
        <v>2</v>
      </c>
      <c r="J702">
        <v>3</v>
      </c>
      <c r="K702" t="s">
        <v>35</v>
      </c>
      <c r="L702">
        <v>1</v>
      </c>
      <c r="M702">
        <v>977</v>
      </c>
      <c r="O702">
        <v>4</v>
      </c>
      <c r="P702">
        <v>1</v>
      </c>
      <c r="Q702" t="s">
        <v>24</v>
      </c>
      <c r="R702">
        <v>3</v>
      </c>
      <c r="S702">
        <v>2479</v>
      </c>
      <c r="T702" t="s">
        <v>21</v>
      </c>
    </row>
    <row r="703" spans="1:20" x14ac:dyDescent="0.25">
      <c r="A703">
        <v>53</v>
      </c>
      <c r="B703" t="str">
        <f t="shared" si="10"/>
        <v>45-54</v>
      </c>
      <c r="C703" t="s">
        <v>21</v>
      </c>
      <c r="F703" t="s">
        <v>17</v>
      </c>
      <c r="G703">
        <v>1376</v>
      </c>
      <c r="H703" t="s">
        <v>18</v>
      </c>
      <c r="I703">
        <v>2</v>
      </c>
      <c r="J703">
        <v>2</v>
      </c>
      <c r="K703" t="s">
        <v>27</v>
      </c>
      <c r="L703">
        <v>1</v>
      </c>
      <c r="M703">
        <v>981</v>
      </c>
      <c r="O703">
        <v>3</v>
      </c>
      <c r="P703">
        <v>4</v>
      </c>
      <c r="Q703" t="s">
        <v>31</v>
      </c>
      <c r="R703">
        <v>3</v>
      </c>
      <c r="S703">
        <v>14852</v>
      </c>
      <c r="T703" t="s">
        <v>21</v>
      </c>
    </row>
    <row r="704" spans="1:20" x14ac:dyDescent="0.25">
      <c r="A704">
        <v>30</v>
      </c>
      <c r="B704" t="str">
        <f t="shared" si="10"/>
        <v>25-34</v>
      </c>
      <c r="C704" t="s">
        <v>21</v>
      </c>
      <c r="F704" t="s">
        <v>17</v>
      </c>
      <c r="G704">
        <v>231</v>
      </c>
      <c r="H704" t="s">
        <v>18</v>
      </c>
      <c r="I704">
        <v>8</v>
      </c>
      <c r="J704">
        <v>2</v>
      </c>
      <c r="K704" t="s">
        <v>25</v>
      </c>
      <c r="L704">
        <v>1</v>
      </c>
      <c r="M704">
        <v>982</v>
      </c>
      <c r="O704">
        <v>3</v>
      </c>
      <c r="P704">
        <v>3</v>
      </c>
      <c r="Q704" t="s">
        <v>20</v>
      </c>
      <c r="R704">
        <v>3</v>
      </c>
      <c r="S704">
        <v>7264</v>
      </c>
      <c r="T704" t="s">
        <v>21</v>
      </c>
    </row>
    <row r="705" spans="1:20" x14ac:dyDescent="0.25">
      <c r="A705">
        <v>38</v>
      </c>
      <c r="B705" t="str">
        <f t="shared" si="10"/>
        <v>35-44</v>
      </c>
      <c r="C705" t="s">
        <v>21</v>
      </c>
      <c r="F705" t="s">
        <v>30</v>
      </c>
      <c r="G705">
        <v>152</v>
      </c>
      <c r="H705" t="s">
        <v>18</v>
      </c>
      <c r="I705">
        <v>10</v>
      </c>
      <c r="J705">
        <v>3</v>
      </c>
      <c r="K705" t="s">
        <v>35</v>
      </c>
      <c r="L705">
        <v>1</v>
      </c>
      <c r="M705">
        <v>983</v>
      </c>
      <c r="O705">
        <v>3</v>
      </c>
      <c r="P705">
        <v>2</v>
      </c>
      <c r="Q705" t="s">
        <v>20</v>
      </c>
      <c r="R705">
        <v>4</v>
      </c>
      <c r="S705">
        <v>5666</v>
      </c>
      <c r="T705" t="s">
        <v>16</v>
      </c>
    </row>
    <row r="706" spans="1:20" x14ac:dyDescent="0.25">
      <c r="A706">
        <v>35</v>
      </c>
      <c r="B706" t="str">
        <f t="shared" si="10"/>
        <v>35-44</v>
      </c>
      <c r="C706" t="s">
        <v>21</v>
      </c>
      <c r="F706" t="s">
        <v>17</v>
      </c>
      <c r="G706">
        <v>882</v>
      </c>
      <c r="H706" t="s">
        <v>18</v>
      </c>
      <c r="I706">
        <v>3</v>
      </c>
      <c r="J706">
        <v>4</v>
      </c>
      <c r="K706" t="s">
        <v>19</v>
      </c>
      <c r="L706">
        <v>1</v>
      </c>
      <c r="M706">
        <v>984</v>
      </c>
      <c r="O706">
        <v>4</v>
      </c>
      <c r="P706">
        <v>3</v>
      </c>
      <c r="Q706" t="s">
        <v>20</v>
      </c>
      <c r="R706">
        <v>4</v>
      </c>
      <c r="S706">
        <v>7823</v>
      </c>
      <c r="T706" t="s">
        <v>21</v>
      </c>
    </row>
    <row r="707" spans="1:20" x14ac:dyDescent="0.25">
      <c r="A707">
        <v>39</v>
      </c>
      <c r="B707" t="str">
        <f t="shared" ref="B707:B770" si="11">IF(A707&lt;=24,"18-24",IF(A707&lt;=34,"25-34",IF(A707&lt;=44,"35-44",IF(A707&lt;=54,"45-54","55+"))))</f>
        <v>35-44</v>
      </c>
      <c r="C707" t="s">
        <v>21</v>
      </c>
      <c r="F707" t="s">
        <v>17</v>
      </c>
      <c r="G707">
        <v>903</v>
      </c>
      <c r="H707" t="s">
        <v>18</v>
      </c>
      <c r="I707">
        <v>2</v>
      </c>
      <c r="J707">
        <v>5</v>
      </c>
      <c r="K707" t="s">
        <v>19</v>
      </c>
      <c r="L707">
        <v>1</v>
      </c>
      <c r="M707">
        <v>985</v>
      </c>
      <c r="O707">
        <v>1</v>
      </c>
      <c r="P707">
        <v>3</v>
      </c>
      <c r="Q707" t="s">
        <v>20</v>
      </c>
      <c r="R707">
        <v>3</v>
      </c>
      <c r="S707">
        <v>7880</v>
      </c>
      <c r="T707" t="s">
        <v>21</v>
      </c>
    </row>
    <row r="708" spans="1:20" x14ac:dyDescent="0.25">
      <c r="A708">
        <v>40</v>
      </c>
      <c r="B708" t="str">
        <f t="shared" si="11"/>
        <v>35-44</v>
      </c>
      <c r="C708" t="s">
        <v>16</v>
      </c>
      <c r="F708" t="s">
        <v>30</v>
      </c>
      <c r="G708">
        <v>1479</v>
      </c>
      <c r="H708" t="s">
        <v>18</v>
      </c>
      <c r="I708">
        <v>24</v>
      </c>
      <c r="J708">
        <v>3</v>
      </c>
      <c r="K708" t="s">
        <v>19</v>
      </c>
      <c r="L708">
        <v>1</v>
      </c>
      <c r="M708">
        <v>986</v>
      </c>
      <c r="O708">
        <v>2</v>
      </c>
      <c r="P708">
        <v>4</v>
      </c>
      <c r="Q708" t="s">
        <v>20</v>
      </c>
      <c r="R708">
        <v>2</v>
      </c>
      <c r="S708">
        <v>13194</v>
      </c>
      <c r="T708" t="s">
        <v>16</v>
      </c>
    </row>
    <row r="709" spans="1:20" x14ac:dyDescent="0.25">
      <c r="A709">
        <v>47</v>
      </c>
      <c r="B709" t="str">
        <f t="shared" si="11"/>
        <v>45-54</v>
      </c>
      <c r="C709" t="s">
        <v>21</v>
      </c>
      <c r="F709" t="s">
        <v>22</v>
      </c>
      <c r="G709">
        <v>1379</v>
      </c>
      <c r="H709" t="s">
        <v>23</v>
      </c>
      <c r="I709">
        <v>16</v>
      </c>
      <c r="J709">
        <v>4</v>
      </c>
      <c r="K709" t="s">
        <v>27</v>
      </c>
      <c r="L709">
        <v>1</v>
      </c>
      <c r="M709">
        <v>987</v>
      </c>
      <c r="O709">
        <v>3</v>
      </c>
      <c r="P709">
        <v>2</v>
      </c>
      <c r="Q709" t="s">
        <v>28</v>
      </c>
      <c r="R709">
        <v>3</v>
      </c>
      <c r="S709">
        <v>5067</v>
      </c>
      <c r="T709" t="s">
        <v>16</v>
      </c>
    </row>
    <row r="710" spans="1:20" x14ac:dyDescent="0.25">
      <c r="A710">
        <v>36</v>
      </c>
      <c r="B710" t="str">
        <f t="shared" si="11"/>
        <v>35-44</v>
      </c>
      <c r="C710" t="s">
        <v>21</v>
      </c>
      <c r="F710" t="s">
        <v>30</v>
      </c>
      <c r="G710">
        <v>1229</v>
      </c>
      <c r="H710" t="s">
        <v>18</v>
      </c>
      <c r="I710">
        <v>8</v>
      </c>
      <c r="J710">
        <v>4</v>
      </c>
      <c r="K710" t="s">
        <v>35</v>
      </c>
      <c r="L710">
        <v>1</v>
      </c>
      <c r="M710">
        <v>990</v>
      </c>
      <c r="O710">
        <v>1</v>
      </c>
      <c r="P710">
        <v>2</v>
      </c>
      <c r="Q710" t="s">
        <v>20</v>
      </c>
      <c r="R710">
        <v>4</v>
      </c>
      <c r="S710">
        <v>5079</v>
      </c>
      <c r="T710" t="s">
        <v>21</v>
      </c>
    </row>
    <row r="711" spans="1:20" x14ac:dyDescent="0.25">
      <c r="A711">
        <v>31</v>
      </c>
      <c r="B711" t="str">
        <f t="shared" si="11"/>
        <v>25-34</v>
      </c>
      <c r="C711" t="s">
        <v>16</v>
      </c>
      <c r="F711" t="s">
        <v>30</v>
      </c>
      <c r="G711">
        <v>335</v>
      </c>
      <c r="H711" t="s">
        <v>23</v>
      </c>
      <c r="I711">
        <v>9</v>
      </c>
      <c r="J711">
        <v>2</v>
      </c>
      <c r="K711" t="s">
        <v>27</v>
      </c>
      <c r="L711">
        <v>1</v>
      </c>
      <c r="M711">
        <v>991</v>
      </c>
      <c r="O711">
        <v>3</v>
      </c>
      <c r="P711">
        <v>1</v>
      </c>
      <c r="Q711" t="s">
        <v>24</v>
      </c>
      <c r="R711">
        <v>1</v>
      </c>
      <c r="S711">
        <v>2321</v>
      </c>
      <c r="T711" t="s">
        <v>16</v>
      </c>
    </row>
    <row r="712" spans="1:20" x14ac:dyDescent="0.25">
      <c r="A712">
        <v>33</v>
      </c>
      <c r="B712" t="str">
        <f t="shared" si="11"/>
        <v>25-34</v>
      </c>
      <c r="C712" t="s">
        <v>21</v>
      </c>
      <c r="F712" t="s">
        <v>30</v>
      </c>
      <c r="G712">
        <v>722</v>
      </c>
      <c r="H712" t="s">
        <v>18</v>
      </c>
      <c r="I712">
        <v>17</v>
      </c>
      <c r="J712">
        <v>3</v>
      </c>
      <c r="K712" t="s">
        <v>19</v>
      </c>
      <c r="L712">
        <v>1</v>
      </c>
      <c r="M712">
        <v>992</v>
      </c>
      <c r="O712">
        <v>4</v>
      </c>
      <c r="P712">
        <v>4</v>
      </c>
      <c r="Q712" t="s">
        <v>31</v>
      </c>
      <c r="R712">
        <v>3</v>
      </c>
      <c r="S712">
        <v>17444</v>
      </c>
      <c r="T712" t="s">
        <v>21</v>
      </c>
    </row>
    <row r="713" spans="1:20" x14ac:dyDescent="0.25">
      <c r="A713">
        <v>29</v>
      </c>
      <c r="B713" t="str">
        <f t="shared" si="11"/>
        <v>25-34</v>
      </c>
      <c r="C713" t="s">
        <v>16</v>
      </c>
      <c r="F713" t="s">
        <v>17</v>
      </c>
      <c r="G713">
        <v>906</v>
      </c>
      <c r="H713" t="s">
        <v>23</v>
      </c>
      <c r="I713">
        <v>10</v>
      </c>
      <c r="J713">
        <v>3</v>
      </c>
      <c r="K713" t="s">
        <v>19</v>
      </c>
      <c r="L713">
        <v>1</v>
      </c>
      <c r="M713">
        <v>994</v>
      </c>
      <c r="O713">
        <v>4</v>
      </c>
      <c r="P713">
        <v>1</v>
      </c>
      <c r="Q713" t="s">
        <v>24</v>
      </c>
      <c r="R713">
        <v>1</v>
      </c>
      <c r="S713">
        <v>2404</v>
      </c>
      <c r="T713" t="s">
        <v>16</v>
      </c>
    </row>
    <row r="714" spans="1:20" x14ac:dyDescent="0.25">
      <c r="A714">
        <v>33</v>
      </c>
      <c r="B714" t="str">
        <f t="shared" si="11"/>
        <v>25-34</v>
      </c>
      <c r="C714" t="s">
        <v>21</v>
      </c>
      <c r="F714" t="s">
        <v>17</v>
      </c>
      <c r="G714">
        <v>461</v>
      </c>
      <c r="H714" t="s">
        <v>23</v>
      </c>
      <c r="I714">
        <v>13</v>
      </c>
      <c r="J714">
        <v>1</v>
      </c>
      <c r="K714" t="s">
        <v>19</v>
      </c>
      <c r="L714">
        <v>1</v>
      </c>
      <c r="M714">
        <v>995</v>
      </c>
      <c r="O714">
        <v>2</v>
      </c>
      <c r="P714">
        <v>1</v>
      </c>
      <c r="Q714" t="s">
        <v>24</v>
      </c>
      <c r="R714">
        <v>4</v>
      </c>
      <c r="S714">
        <v>3452</v>
      </c>
      <c r="T714" t="s">
        <v>21</v>
      </c>
    </row>
    <row r="715" spans="1:20" x14ac:dyDescent="0.25">
      <c r="A715">
        <v>45</v>
      </c>
      <c r="B715" t="str">
        <f t="shared" si="11"/>
        <v>45-54</v>
      </c>
      <c r="C715" t="s">
        <v>21</v>
      </c>
      <c r="F715" t="s">
        <v>17</v>
      </c>
      <c r="G715">
        <v>974</v>
      </c>
      <c r="H715" t="s">
        <v>23</v>
      </c>
      <c r="I715">
        <v>1</v>
      </c>
      <c r="J715">
        <v>4</v>
      </c>
      <c r="K715" t="s">
        <v>27</v>
      </c>
      <c r="L715">
        <v>1</v>
      </c>
      <c r="M715">
        <v>996</v>
      </c>
      <c r="O715">
        <v>4</v>
      </c>
      <c r="P715">
        <v>1</v>
      </c>
      <c r="Q715" t="s">
        <v>26</v>
      </c>
      <c r="R715">
        <v>4</v>
      </c>
      <c r="S715">
        <v>2270</v>
      </c>
      <c r="T715" t="s">
        <v>21</v>
      </c>
    </row>
    <row r="716" spans="1:20" x14ac:dyDescent="0.25">
      <c r="A716">
        <v>50</v>
      </c>
      <c r="B716" t="str">
        <f t="shared" si="11"/>
        <v>45-54</v>
      </c>
      <c r="C716" t="s">
        <v>21</v>
      </c>
      <c r="F716" t="s">
        <v>17</v>
      </c>
      <c r="G716">
        <v>1126</v>
      </c>
      <c r="H716" t="s">
        <v>23</v>
      </c>
      <c r="I716">
        <v>1</v>
      </c>
      <c r="J716">
        <v>2</v>
      </c>
      <c r="K716" t="s">
        <v>27</v>
      </c>
      <c r="L716">
        <v>1</v>
      </c>
      <c r="M716">
        <v>997</v>
      </c>
      <c r="O716">
        <v>4</v>
      </c>
      <c r="P716">
        <v>4</v>
      </c>
      <c r="Q716" t="s">
        <v>33</v>
      </c>
      <c r="R716">
        <v>4</v>
      </c>
      <c r="S716">
        <v>17399</v>
      </c>
      <c r="T716" t="s">
        <v>21</v>
      </c>
    </row>
    <row r="717" spans="1:20" x14ac:dyDescent="0.25">
      <c r="A717">
        <v>33</v>
      </c>
      <c r="B717" t="str">
        <f t="shared" si="11"/>
        <v>25-34</v>
      </c>
      <c r="C717" t="s">
        <v>21</v>
      </c>
      <c r="F717" t="s">
        <v>22</v>
      </c>
      <c r="G717">
        <v>827</v>
      </c>
      <c r="H717" t="s">
        <v>23</v>
      </c>
      <c r="I717">
        <v>1</v>
      </c>
      <c r="J717">
        <v>4</v>
      </c>
      <c r="K717" t="s">
        <v>25</v>
      </c>
      <c r="L717">
        <v>1</v>
      </c>
      <c r="M717">
        <v>998</v>
      </c>
      <c r="O717">
        <v>3</v>
      </c>
      <c r="P717">
        <v>2</v>
      </c>
      <c r="Q717" t="s">
        <v>29</v>
      </c>
      <c r="R717">
        <v>2</v>
      </c>
      <c r="S717">
        <v>5488</v>
      </c>
      <c r="T717" t="s">
        <v>16</v>
      </c>
    </row>
    <row r="718" spans="1:20" x14ac:dyDescent="0.25">
      <c r="A718">
        <v>41</v>
      </c>
      <c r="B718" t="str">
        <f t="shared" si="11"/>
        <v>35-44</v>
      </c>
      <c r="C718" t="s">
        <v>21</v>
      </c>
      <c r="F718" t="s">
        <v>22</v>
      </c>
      <c r="G718">
        <v>840</v>
      </c>
      <c r="H718" t="s">
        <v>23</v>
      </c>
      <c r="I718">
        <v>9</v>
      </c>
      <c r="J718">
        <v>3</v>
      </c>
      <c r="K718" t="s">
        <v>27</v>
      </c>
      <c r="L718">
        <v>1</v>
      </c>
      <c r="M718">
        <v>999</v>
      </c>
      <c r="O718">
        <v>1</v>
      </c>
      <c r="P718">
        <v>5</v>
      </c>
      <c r="Q718" t="s">
        <v>33</v>
      </c>
      <c r="R718">
        <v>3</v>
      </c>
      <c r="S718">
        <v>19419</v>
      </c>
      <c r="T718" t="s">
        <v>21</v>
      </c>
    </row>
    <row r="719" spans="1:20" x14ac:dyDescent="0.25">
      <c r="A719">
        <v>27</v>
      </c>
      <c r="B719" t="str">
        <f t="shared" si="11"/>
        <v>25-34</v>
      </c>
      <c r="C719" t="s">
        <v>21</v>
      </c>
      <c r="F719" t="s">
        <v>17</v>
      </c>
      <c r="G719">
        <v>1134</v>
      </c>
      <c r="H719" t="s">
        <v>23</v>
      </c>
      <c r="I719">
        <v>16</v>
      </c>
      <c r="J719">
        <v>4</v>
      </c>
      <c r="K719" t="s">
        <v>35</v>
      </c>
      <c r="L719">
        <v>1</v>
      </c>
      <c r="M719">
        <v>1001</v>
      </c>
      <c r="O719">
        <v>3</v>
      </c>
      <c r="P719">
        <v>1</v>
      </c>
      <c r="Q719" t="s">
        <v>26</v>
      </c>
      <c r="R719">
        <v>2</v>
      </c>
      <c r="S719">
        <v>2811</v>
      </c>
      <c r="T719" t="s">
        <v>21</v>
      </c>
    </row>
    <row r="720" spans="1:20" x14ac:dyDescent="0.25">
      <c r="A720">
        <v>45</v>
      </c>
      <c r="B720" t="str">
        <f t="shared" si="11"/>
        <v>45-54</v>
      </c>
      <c r="C720" t="s">
        <v>21</v>
      </c>
      <c r="F720" t="s">
        <v>30</v>
      </c>
      <c r="G720">
        <v>248</v>
      </c>
      <c r="H720" t="s">
        <v>23</v>
      </c>
      <c r="I720">
        <v>23</v>
      </c>
      <c r="J720">
        <v>2</v>
      </c>
      <c r="K720" t="s">
        <v>19</v>
      </c>
      <c r="L720">
        <v>1</v>
      </c>
      <c r="M720">
        <v>1002</v>
      </c>
      <c r="O720">
        <v>4</v>
      </c>
      <c r="P720">
        <v>2</v>
      </c>
      <c r="Q720" t="s">
        <v>26</v>
      </c>
      <c r="R720">
        <v>1</v>
      </c>
      <c r="S720">
        <v>3633</v>
      </c>
      <c r="T720" t="s">
        <v>16</v>
      </c>
    </row>
    <row r="721" spans="1:20" x14ac:dyDescent="0.25">
      <c r="A721">
        <v>47</v>
      </c>
      <c r="B721" t="str">
        <f t="shared" si="11"/>
        <v>45-54</v>
      </c>
      <c r="C721" t="s">
        <v>21</v>
      </c>
      <c r="F721" t="s">
        <v>17</v>
      </c>
      <c r="G721">
        <v>955</v>
      </c>
      <c r="H721" t="s">
        <v>18</v>
      </c>
      <c r="I721">
        <v>4</v>
      </c>
      <c r="J721">
        <v>2</v>
      </c>
      <c r="K721" t="s">
        <v>19</v>
      </c>
      <c r="L721">
        <v>1</v>
      </c>
      <c r="M721">
        <v>1003</v>
      </c>
      <c r="O721">
        <v>4</v>
      </c>
      <c r="P721">
        <v>2</v>
      </c>
      <c r="Q721" t="s">
        <v>20</v>
      </c>
      <c r="R721">
        <v>4</v>
      </c>
      <c r="S721">
        <v>4163</v>
      </c>
      <c r="T721" t="s">
        <v>16</v>
      </c>
    </row>
    <row r="722" spans="1:20" x14ac:dyDescent="0.25">
      <c r="A722">
        <v>30</v>
      </c>
      <c r="B722" t="str">
        <f t="shared" si="11"/>
        <v>25-34</v>
      </c>
      <c r="C722" t="s">
        <v>16</v>
      </c>
      <c r="F722" t="s">
        <v>17</v>
      </c>
      <c r="G722">
        <v>138</v>
      </c>
      <c r="H722" t="s">
        <v>23</v>
      </c>
      <c r="I722">
        <v>22</v>
      </c>
      <c r="J722">
        <v>3</v>
      </c>
      <c r="K722" t="s">
        <v>19</v>
      </c>
      <c r="L722">
        <v>1</v>
      </c>
      <c r="M722">
        <v>1004</v>
      </c>
      <c r="O722">
        <v>1</v>
      </c>
      <c r="P722">
        <v>1</v>
      </c>
      <c r="Q722" t="s">
        <v>24</v>
      </c>
      <c r="R722">
        <v>3</v>
      </c>
      <c r="S722">
        <v>2132</v>
      </c>
      <c r="T722" t="s">
        <v>16</v>
      </c>
    </row>
    <row r="723" spans="1:20" x14ac:dyDescent="0.25">
      <c r="A723">
        <v>50</v>
      </c>
      <c r="B723" t="str">
        <f t="shared" si="11"/>
        <v>45-54</v>
      </c>
      <c r="C723" t="s">
        <v>21</v>
      </c>
      <c r="F723" t="s">
        <v>17</v>
      </c>
      <c r="G723">
        <v>939</v>
      </c>
      <c r="H723" t="s">
        <v>23</v>
      </c>
      <c r="I723">
        <v>24</v>
      </c>
      <c r="J723">
        <v>3</v>
      </c>
      <c r="K723" t="s">
        <v>19</v>
      </c>
      <c r="L723">
        <v>1</v>
      </c>
      <c r="M723">
        <v>1005</v>
      </c>
      <c r="O723">
        <v>4</v>
      </c>
      <c r="P723">
        <v>4</v>
      </c>
      <c r="Q723" t="s">
        <v>28</v>
      </c>
      <c r="R723">
        <v>3</v>
      </c>
      <c r="S723">
        <v>13973</v>
      </c>
      <c r="T723" t="s">
        <v>16</v>
      </c>
    </row>
    <row r="724" spans="1:20" x14ac:dyDescent="0.25">
      <c r="A724">
        <v>38</v>
      </c>
      <c r="B724" t="str">
        <f t="shared" si="11"/>
        <v>35-44</v>
      </c>
      <c r="C724" t="s">
        <v>21</v>
      </c>
      <c r="F724" t="s">
        <v>22</v>
      </c>
      <c r="G724">
        <v>1391</v>
      </c>
      <c r="H724" t="s">
        <v>23</v>
      </c>
      <c r="I724">
        <v>10</v>
      </c>
      <c r="J724">
        <v>1</v>
      </c>
      <c r="K724" t="s">
        <v>27</v>
      </c>
      <c r="L724">
        <v>1</v>
      </c>
      <c r="M724">
        <v>1006</v>
      </c>
      <c r="O724">
        <v>3</v>
      </c>
      <c r="P724">
        <v>1</v>
      </c>
      <c r="Q724" t="s">
        <v>24</v>
      </c>
      <c r="R724">
        <v>3</v>
      </c>
      <c r="S724">
        <v>2684</v>
      </c>
      <c r="T724" t="s">
        <v>21</v>
      </c>
    </row>
    <row r="725" spans="1:20" x14ac:dyDescent="0.25">
      <c r="A725">
        <v>46</v>
      </c>
      <c r="B725" t="str">
        <f t="shared" si="11"/>
        <v>45-54</v>
      </c>
      <c r="C725" t="s">
        <v>21</v>
      </c>
      <c r="F725" t="s">
        <v>17</v>
      </c>
      <c r="G725">
        <v>566</v>
      </c>
      <c r="H725" t="s">
        <v>23</v>
      </c>
      <c r="I725">
        <v>7</v>
      </c>
      <c r="J725">
        <v>2</v>
      </c>
      <c r="K725" t="s">
        <v>27</v>
      </c>
      <c r="L725">
        <v>1</v>
      </c>
      <c r="M725">
        <v>1007</v>
      </c>
      <c r="O725">
        <v>4</v>
      </c>
      <c r="P725">
        <v>3</v>
      </c>
      <c r="Q725" t="s">
        <v>28</v>
      </c>
      <c r="R725">
        <v>3</v>
      </c>
      <c r="S725">
        <v>10845</v>
      </c>
      <c r="T725" t="s">
        <v>21</v>
      </c>
    </row>
    <row r="726" spans="1:20" x14ac:dyDescent="0.25">
      <c r="A726">
        <v>24</v>
      </c>
      <c r="B726" t="str">
        <f t="shared" si="11"/>
        <v>18-24</v>
      </c>
      <c r="C726" t="s">
        <v>21</v>
      </c>
      <c r="F726" t="s">
        <v>17</v>
      </c>
      <c r="G726">
        <v>1206</v>
      </c>
      <c r="H726" t="s">
        <v>23</v>
      </c>
      <c r="I726">
        <v>17</v>
      </c>
      <c r="J726">
        <v>1</v>
      </c>
      <c r="K726" t="s">
        <v>27</v>
      </c>
      <c r="L726">
        <v>1</v>
      </c>
      <c r="M726">
        <v>1009</v>
      </c>
      <c r="O726">
        <v>4</v>
      </c>
      <c r="P726">
        <v>2</v>
      </c>
      <c r="Q726" t="s">
        <v>28</v>
      </c>
      <c r="R726">
        <v>3</v>
      </c>
      <c r="S726">
        <v>4377</v>
      </c>
      <c r="T726" t="s">
        <v>21</v>
      </c>
    </row>
    <row r="727" spans="1:20" x14ac:dyDescent="0.25">
      <c r="A727">
        <v>35</v>
      </c>
      <c r="B727" t="str">
        <f t="shared" si="11"/>
        <v>35-44</v>
      </c>
      <c r="C727" t="s">
        <v>16</v>
      </c>
      <c r="F727" t="s">
        <v>17</v>
      </c>
      <c r="G727">
        <v>622</v>
      </c>
      <c r="H727" t="s">
        <v>23</v>
      </c>
      <c r="I727">
        <v>14</v>
      </c>
      <c r="J727">
        <v>4</v>
      </c>
      <c r="K727" t="s">
        <v>25</v>
      </c>
      <c r="L727">
        <v>1</v>
      </c>
      <c r="M727">
        <v>1010</v>
      </c>
      <c r="O727">
        <v>3</v>
      </c>
      <c r="P727">
        <v>1</v>
      </c>
      <c r="Q727" t="s">
        <v>26</v>
      </c>
      <c r="R727">
        <v>2</v>
      </c>
      <c r="S727">
        <v>3743</v>
      </c>
      <c r="T727" t="s">
        <v>16</v>
      </c>
    </row>
    <row r="728" spans="1:20" x14ac:dyDescent="0.25">
      <c r="A728">
        <v>31</v>
      </c>
      <c r="B728" t="str">
        <f t="shared" si="11"/>
        <v>25-34</v>
      </c>
      <c r="C728" t="s">
        <v>21</v>
      </c>
      <c r="F728" t="s">
        <v>22</v>
      </c>
      <c r="G728">
        <v>853</v>
      </c>
      <c r="H728" t="s">
        <v>23</v>
      </c>
      <c r="I728">
        <v>1</v>
      </c>
      <c r="J728">
        <v>1</v>
      </c>
      <c r="K728" t="s">
        <v>19</v>
      </c>
      <c r="L728">
        <v>1</v>
      </c>
      <c r="M728">
        <v>1011</v>
      </c>
      <c r="O728">
        <v>3</v>
      </c>
      <c r="P728">
        <v>2</v>
      </c>
      <c r="Q728" t="s">
        <v>28</v>
      </c>
      <c r="R728">
        <v>1</v>
      </c>
      <c r="S728">
        <v>4148</v>
      </c>
      <c r="T728" t="s">
        <v>21</v>
      </c>
    </row>
    <row r="729" spans="1:20" x14ac:dyDescent="0.25">
      <c r="A729">
        <v>18</v>
      </c>
      <c r="B729" t="str">
        <f t="shared" si="11"/>
        <v>18-24</v>
      </c>
      <c r="C729" t="s">
        <v>21</v>
      </c>
      <c r="F729" t="s">
        <v>30</v>
      </c>
      <c r="G729">
        <v>287</v>
      </c>
      <c r="H729" t="s">
        <v>23</v>
      </c>
      <c r="I729">
        <v>5</v>
      </c>
      <c r="J729">
        <v>2</v>
      </c>
      <c r="K729" t="s">
        <v>19</v>
      </c>
      <c r="L729">
        <v>1</v>
      </c>
      <c r="M729">
        <v>1012</v>
      </c>
      <c r="O729">
        <v>2</v>
      </c>
      <c r="P729">
        <v>1</v>
      </c>
      <c r="Q729" t="s">
        <v>24</v>
      </c>
      <c r="R729">
        <v>4</v>
      </c>
      <c r="S729">
        <v>1051</v>
      </c>
      <c r="T729" t="s">
        <v>21</v>
      </c>
    </row>
    <row r="730" spans="1:20" x14ac:dyDescent="0.25">
      <c r="A730">
        <v>54</v>
      </c>
      <c r="B730" t="str">
        <f t="shared" si="11"/>
        <v>45-54</v>
      </c>
      <c r="C730" t="s">
        <v>21</v>
      </c>
      <c r="F730" t="s">
        <v>17</v>
      </c>
      <c r="G730">
        <v>1441</v>
      </c>
      <c r="H730" t="s">
        <v>23</v>
      </c>
      <c r="I730">
        <v>17</v>
      </c>
      <c r="J730">
        <v>3</v>
      </c>
      <c r="K730" t="s">
        <v>35</v>
      </c>
      <c r="L730">
        <v>1</v>
      </c>
      <c r="M730">
        <v>1013</v>
      </c>
      <c r="O730">
        <v>3</v>
      </c>
      <c r="P730">
        <v>3</v>
      </c>
      <c r="Q730" t="s">
        <v>28</v>
      </c>
      <c r="R730">
        <v>3</v>
      </c>
      <c r="S730">
        <v>10739</v>
      </c>
      <c r="T730" t="s">
        <v>21</v>
      </c>
    </row>
    <row r="731" spans="1:20" x14ac:dyDescent="0.25">
      <c r="A731">
        <v>35</v>
      </c>
      <c r="B731" t="str">
        <f t="shared" si="11"/>
        <v>35-44</v>
      </c>
      <c r="C731" t="s">
        <v>21</v>
      </c>
      <c r="F731" t="s">
        <v>17</v>
      </c>
      <c r="G731">
        <v>583</v>
      </c>
      <c r="H731" t="s">
        <v>23</v>
      </c>
      <c r="I731">
        <v>25</v>
      </c>
      <c r="J731">
        <v>4</v>
      </c>
      <c r="K731" t="s">
        <v>27</v>
      </c>
      <c r="L731">
        <v>1</v>
      </c>
      <c r="M731">
        <v>1014</v>
      </c>
      <c r="O731">
        <v>3</v>
      </c>
      <c r="P731">
        <v>3</v>
      </c>
      <c r="Q731" t="s">
        <v>29</v>
      </c>
      <c r="R731">
        <v>3</v>
      </c>
      <c r="S731">
        <v>10388</v>
      </c>
      <c r="T731" t="s">
        <v>16</v>
      </c>
    </row>
    <row r="732" spans="1:20" x14ac:dyDescent="0.25">
      <c r="A732">
        <v>30</v>
      </c>
      <c r="B732" t="str">
        <f t="shared" si="11"/>
        <v>25-34</v>
      </c>
      <c r="C732" t="s">
        <v>21</v>
      </c>
      <c r="F732" t="s">
        <v>17</v>
      </c>
      <c r="G732">
        <v>153</v>
      </c>
      <c r="H732" t="s">
        <v>23</v>
      </c>
      <c r="I732">
        <v>8</v>
      </c>
      <c r="J732">
        <v>2</v>
      </c>
      <c r="K732" t="s">
        <v>19</v>
      </c>
      <c r="L732">
        <v>1</v>
      </c>
      <c r="M732">
        <v>1015</v>
      </c>
      <c r="O732">
        <v>2</v>
      </c>
      <c r="P732">
        <v>3</v>
      </c>
      <c r="Q732" t="s">
        <v>33</v>
      </c>
      <c r="R732">
        <v>1</v>
      </c>
      <c r="S732">
        <v>11416</v>
      </c>
      <c r="T732" t="s">
        <v>16</v>
      </c>
    </row>
    <row r="733" spans="1:20" x14ac:dyDescent="0.25">
      <c r="A733">
        <v>20</v>
      </c>
      <c r="B733" t="str">
        <f t="shared" si="11"/>
        <v>18-24</v>
      </c>
      <c r="C733" t="s">
        <v>16</v>
      </c>
      <c r="F733" t="s">
        <v>17</v>
      </c>
      <c r="G733">
        <v>1097</v>
      </c>
      <c r="H733" t="s">
        <v>23</v>
      </c>
      <c r="I733">
        <v>11</v>
      </c>
      <c r="J733">
        <v>3</v>
      </c>
      <c r="K733" t="s">
        <v>27</v>
      </c>
      <c r="L733">
        <v>1</v>
      </c>
      <c r="M733">
        <v>1016</v>
      </c>
      <c r="O733">
        <v>4</v>
      </c>
      <c r="P733">
        <v>1</v>
      </c>
      <c r="Q733" t="s">
        <v>24</v>
      </c>
      <c r="R733">
        <v>1</v>
      </c>
      <c r="S733">
        <v>2600</v>
      </c>
      <c r="T733" t="s">
        <v>16</v>
      </c>
    </row>
    <row r="734" spans="1:20" x14ac:dyDescent="0.25">
      <c r="A734">
        <v>30</v>
      </c>
      <c r="B734" t="str">
        <f t="shared" si="11"/>
        <v>25-34</v>
      </c>
      <c r="C734" t="s">
        <v>16</v>
      </c>
      <c r="F734" t="s">
        <v>22</v>
      </c>
      <c r="G734">
        <v>109</v>
      </c>
      <c r="H734" t="s">
        <v>23</v>
      </c>
      <c r="I734">
        <v>5</v>
      </c>
      <c r="J734">
        <v>3</v>
      </c>
      <c r="K734" t="s">
        <v>27</v>
      </c>
      <c r="L734">
        <v>1</v>
      </c>
      <c r="M734">
        <v>1017</v>
      </c>
      <c r="O734">
        <v>2</v>
      </c>
      <c r="P734">
        <v>1</v>
      </c>
      <c r="Q734" t="s">
        <v>26</v>
      </c>
      <c r="R734">
        <v>2</v>
      </c>
      <c r="S734">
        <v>2422</v>
      </c>
      <c r="T734" t="s">
        <v>21</v>
      </c>
    </row>
    <row r="735" spans="1:20" x14ac:dyDescent="0.25">
      <c r="A735">
        <v>26</v>
      </c>
      <c r="B735" t="str">
        <f t="shared" si="11"/>
        <v>25-34</v>
      </c>
      <c r="C735" t="s">
        <v>21</v>
      </c>
      <c r="F735" t="s">
        <v>17</v>
      </c>
      <c r="G735">
        <v>1066</v>
      </c>
      <c r="H735" t="s">
        <v>23</v>
      </c>
      <c r="I735">
        <v>2</v>
      </c>
      <c r="J735">
        <v>2</v>
      </c>
      <c r="K735" t="s">
        <v>27</v>
      </c>
      <c r="L735">
        <v>1</v>
      </c>
      <c r="M735">
        <v>1018</v>
      </c>
      <c r="O735">
        <v>4</v>
      </c>
      <c r="P735">
        <v>2</v>
      </c>
      <c r="Q735" t="s">
        <v>28</v>
      </c>
      <c r="R735">
        <v>4</v>
      </c>
      <c r="S735">
        <v>5472</v>
      </c>
      <c r="T735" t="s">
        <v>21</v>
      </c>
    </row>
    <row r="736" spans="1:20" x14ac:dyDescent="0.25">
      <c r="A736">
        <v>22</v>
      </c>
      <c r="B736" t="str">
        <f t="shared" si="11"/>
        <v>18-24</v>
      </c>
      <c r="C736" t="s">
        <v>21</v>
      </c>
      <c r="F736" t="s">
        <v>17</v>
      </c>
      <c r="G736">
        <v>217</v>
      </c>
      <c r="H736" t="s">
        <v>23</v>
      </c>
      <c r="I736">
        <v>8</v>
      </c>
      <c r="J736">
        <v>1</v>
      </c>
      <c r="K736" t="s">
        <v>19</v>
      </c>
      <c r="L736">
        <v>1</v>
      </c>
      <c r="M736">
        <v>1019</v>
      </c>
      <c r="O736">
        <v>2</v>
      </c>
      <c r="P736">
        <v>1</v>
      </c>
      <c r="Q736" t="s">
        <v>26</v>
      </c>
      <c r="R736">
        <v>1</v>
      </c>
      <c r="S736">
        <v>2451</v>
      </c>
      <c r="T736" t="s">
        <v>21</v>
      </c>
    </row>
    <row r="737" spans="1:20" x14ac:dyDescent="0.25">
      <c r="A737">
        <v>48</v>
      </c>
      <c r="B737" t="str">
        <f t="shared" si="11"/>
        <v>45-54</v>
      </c>
      <c r="C737" t="s">
        <v>21</v>
      </c>
      <c r="F737" t="s">
        <v>17</v>
      </c>
      <c r="G737">
        <v>277</v>
      </c>
      <c r="H737" t="s">
        <v>23</v>
      </c>
      <c r="I737">
        <v>6</v>
      </c>
      <c r="J737">
        <v>3</v>
      </c>
      <c r="K737" t="s">
        <v>19</v>
      </c>
      <c r="L737">
        <v>1</v>
      </c>
      <c r="M737">
        <v>1022</v>
      </c>
      <c r="O737">
        <v>1</v>
      </c>
      <c r="P737">
        <v>2</v>
      </c>
      <c r="Q737" t="s">
        <v>29</v>
      </c>
      <c r="R737">
        <v>3</v>
      </c>
      <c r="S737">
        <v>4240</v>
      </c>
      <c r="T737" t="s">
        <v>21</v>
      </c>
    </row>
    <row r="738" spans="1:20" x14ac:dyDescent="0.25">
      <c r="A738">
        <v>48</v>
      </c>
      <c r="B738" t="str">
        <f t="shared" si="11"/>
        <v>45-54</v>
      </c>
      <c r="C738" t="s">
        <v>21</v>
      </c>
      <c r="F738" t="s">
        <v>17</v>
      </c>
      <c r="G738">
        <v>1355</v>
      </c>
      <c r="H738" t="s">
        <v>23</v>
      </c>
      <c r="I738">
        <v>4</v>
      </c>
      <c r="J738">
        <v>4</v>
      </c>
      <c r="K738" t="s">
        <v>19</v>
      </c>
      <c r="L738">
        <v>1</v>
      </c>
      <c r="M738">
        <v>1024</v>
      </c>
      <c r="O738">
        <v>3</v>
      </c>
      <c r="P738">
        <v>3</v>
      </c>
      <c r="Q738" t="s">
        <v>29</v>
      </c>
      <c r="R738">
        <v>3</v>
      </c>
      <c r="S738">
        <v>10999</v>
      </c>
      <c r="T738" t="s">
        <v>21</v>
      </c>
    </row>
    <row r="739" spans="1:20" x14ac:dyDescent="0.25">
      <c r="A739">
        <v>41</v>
      </c>
      <c r="B739" t="str">
        <f t="shared" si="11"/>
        <v>35-44</v>
      </c>
      <c r="C739" t="s">
        <v>21</v>
      </c>
      <c r="F739" t="s">
        <v>17</v>
      </c>
      <c r="G739">
        <v>549</v>
      </c>
      <c r="H739" t="s">
        <v>23</v>
      </c>
      <c r="I739">
        <v>7</v>
      </c>
      <c r="J739">
        <v>2</v>
      </c>
      <c r="K739" t="s">
        <v>27</v>
      </c>
      <c r="L739">
        <v>1</v>
      </c>
      <c r="M739">
        <v>1025</v>
      </c>
      <c r="O739">
        <v>4</v>
      </c>
      <c r="P739">
        <v>2</v>
      </c>
      <c r="Q739" t="s">
        <v>28</v>
      </c>
      <c r="R739">
        <v>3</v>
      </c>
      <c r="S739">
        <v>5003</v>
      </c>
      <c r="T739" t="s">
        <v>21</v>
      </c>
    </row>
    <row r="740" spans="1:20" x14ac:dyDescent="0.25">
      <c r="A740">
        <v>39</v>
      </c>
      <c r="B740" t="str">
        <f t="shared" si="11"/>
        <v>35-44</v>
      </c>
      <c r="C740" t="s">
        <v>21</v>
      </c>
      <c r="F740" t="s">
        <v>17</v>
      </c>
      <c r="G740">
        <v>466</v>
      </c>
      <c r="H740" t="s">
        <v>23</v>
      </c>
      <c r="I740">
        <v>1</v>
      </c>
      <c r="J740">
        <v>1</v>
      </c>
      <c r="K740" t="s">
        <v>19</v>
      </c>
      <c r="L740">
        <v>1</v>
      </c>
      <c r="M740">
        <v>1026</v>
      </c>
      <c r="O740">
        <v>4</v>
      </c>
      <c r="P740">
        <v>4</v>
      </c>
      <c r="Q740" t="s">
        <v>28</v>
      </c>
      <c r="R740">
        <v>4</v>
      </c>
      <c r="S740">
        <v>12742</v>
      </c>
      <c r="T740" t="s">
        <v>21</v>
      </c>
    </row>
    <row r="741" spans="1:20" x14ac:dyDescent="0.25">
      <c r="A741">
        <v>27</v>
      </c>
      <c r="B741" t="str">
        <f t="shared" si="11"/>
        <v>25-34</v>
      </c>
      <c r="C741" t="s">
        <v>21</v>
      </c>
      <c r="F741" t="s">
        <v>17</v>
      </c>
      <c r="G741">
        <v>1055</v>
      </c>
      <c r="H741" t="s">
        <v>23</v>
      </c>
      <c r="I741">
        <v>2</v>
      </c>
      <c r="J741">
        <v>4</v>
      </c>
      <c r="K741" t="s">
        <v>19</v>
      </c>
      <c r="L741">
        <v>1</v>
      </c>
      <c r="M741">
        <v>1027</v>
      </c>
      <c r="O741">
        <v>1</v>
      </c>
      <c r="P741">
        <v>2</v>
      </c>
      <c r="Q741" t="s">
        <v>28</v>
      </c>
      <c r="R741">
        <v>4</v>
      </c>
      <c r="S741">
        <v>4227</v>
      </c>
      <c r="T741" t="s">
        <v>21</v>
      </c>
    </row>
    <row r="742" spans="1:20" x14ac:dyDescent="0.25">
      <c r="A742">
        <v>35</v>
      </c>
      <c r="B742" t="str">
        <f t="shared" si="11"/>
        <v>35-44</v>
      </c>
      <c r="C742" t="s">
        <v>21</v>
      </c>
      <c r="F742" t="s">
        <v>17</v>
      </c>
      <c r="G742">
        <v>802</v>
      </c>
      <c r="H742" t="s">
        <v>23</v>
      </c>
      <c r="I742">
        <v>10</v>
      </c>
      <c r="J742">
        <v>3</v>
      </c>
      <c r="K742" t="s">
        <v>25</v>
      </c>
      <c r="L742">
        <v>1</v>
      </c>
      <c r="M742">
        <v>1028</v>
      </c>
      <c r="O742">
        <v>2</v>
      </c>
      <c r="P742">
        <v>1</v>
      </c>
      <c r="Q742" t="s">
        <v>26</v>
      </c>
      <c r="R742">
        <v>4</v>
      </c>
      <c r="S742">
        <v>3917</v>
      </c>
      <c r="T742" t="s">
        <v>21</v>
      </c>
    </row>
    <row r="743" spans="1:20" x14ac:dyDescent="0.25">
      <c r="A743">
        <v>42</v>
      </c>
      <c r="B743" t="str">
        <f t="shared" si="11"/>
        <v>35-44</v>
      </c>
      <c r="C743" t="s">
        <v>21</v>
      </c>
      <c r="F743" t="s">
        <v>17</v>
      </c>
      <c r="G743">
        <v>265</v>
      </c>
      <c r="H743" t="s">
        <v>18</v>
      </c>
      <c r="I743">
        <v>5</v>
      </c>
      <c r="J743">
        <v>2</v>
      </c>
      <c r="K743" t="s">
        <v>34</v>
      </c>
      <c r="L743">
        <v>1</v>
      </c>
      <c r="M743">
        <v>1029</v>
      </c>
      <c r="O743">
        <v>4</v>
      </c>
      <c r="P743">
        <v>5</v>
      </c>
      <c r="Q743" t="s">
        <v>31</v>
      </c>
      <c r="R743">
        <v>3</v>
      </c>
      <c r="S743">
        <v>18303</v>
      </c>
      <c r="T743" t="s">
        <v>21</v>
      </c>
    </row>
    <row r="744" spans="1:20" x14ac:dyDescent="0.25">
      <c r="A744">
        <v>50</v>
      </c>
      <c r="B744" t="str">
        <f t="shared" si="11"/>
        <v>45-54</v>
      </c>
      <c r="C744" t="s">
        <v>21</v>
      </c>
      <c r="F744" t="s">
        <v>17</v>
      </c>
      <c r="G744">
        <v>804</v>
      </c>
      <c r="H744" t="s">
        <v>23</v>
      </c>
      <c r="I744">
        <v>9</v>
      </c>
      <c r="J744">
        <v>3</v>
      </c>
      <c r="K744" t="s">
        <v>19</v>
      </c>
      <c r="L744">
        <v>1</v>
      </c>
      <c r="M744">
        <v>1030</v>
      </c>
      <c r="O744">
        <v>1</v>
      </c>
      <c r="P744">
        <v>1</v>
      </c>
      <c r="Q744" t="s">
        <v>26</v>
      </c>
      <c r="R744">
        <v>4</v>
      </c>
      <c r="S744">
        <v>2380</v>
      </c>
      <c r="T744" t="s">
        <v>21</v>
      </c>
    </row>
    <row r="745" spans="1:20" x14ac:dyDescent="0.25">
      <c r="A745">
        <v>59</v>
      </c>
      <c r="B745" t="str">
        <f t="shared" si="11"/>
        <v>55+</v>
      </c>
      <c r="C745" t="s">
        <v>21</v>
      </c>
      <c r="F745" t="s">
        <v>17</v>
      </c>
      <c r="G745">
        <v>715</v>
      </c>
      <c r="H745" t="s">
        <v>23</v>
      </c>
      <c r="I745">
        <v>2</v>
      </c>
      <c r="J745">
        <v>3</v>
      </c>
      <c r="K745" t="s">
        <v>19</v>
      </c>
      <c r="L745">
        <v>1</v>
      </c>
      <c r="M745">
        <v>1032</v>
      </c>
      <c r="O745">
        <v>3</v>
      </c>
      <c r="P745">
        <v>4</v>
      </c>
      <c r="Q745" t="s">
        <v>28</v>
      </c>
      <c r="R745">
        <v>4</v>
      </c>
      <c r="S745">
        <v>13726</v>
      </c>
      <c r="T745" t="s">
        <v>16</v>
      </c>
    </row>
    <row r="746" spans="1:20" x14ac:dyDescent="0.25">
      <c r="A746">
        <v>37</v>
      </c>
      <c r="B746" t="str">
        <f t="shared" si="11"/>
        <v>35-44</v>
      </c>
      <c r="C746" t="s">
        <v>16</v>
      </c>
      <c r="F746" t="s">
        <v>17</v>
      </c>
      <c r="G746">
        <v>1141</v>
      </c>
      <c r="H746" t="s">
        <v>23</v>
      </c>
      <c r="I746">
        <v>11</v>
      </c>
      <c r="J746">
        <v>2</v>
      </c>
      <c r="K746" t="s">
        <v>27</v>
      </c>
      <c r="L746">
        <v>1</v>
      </c>
      <c r="M746">
        <v>1033</v>
      </c>
      <c r="O746">
        <v>1</v>
      </c>
      <c r="P746">
        <v>2</v>
      </c>
      <c r="Q746" t="s">
        <v>29</v>
      </c>
      <c r="R746">
        <v>2</v>
      </c>
      <c r="S746">
        <v>4777</v>
      </c>
      <c r="T746" t="s">
        <v>21</v>
      </c>
    </row>
    <row r="747" spans="1:20" x14ac:dyDescent="0.25">
      <c r="A747">
        <v>55</v>
      </c>
      <c r="B747" t="str">
        <f t="shared" si="11"/>
        <v>55+</v>
      </c>
      <c r="C747" t="s">
        <v>21</v>
      </c>
      <c r="F747" t="s">
        <v>22</v>
      </c>
      <c r="G747">
        <v>135</v>
      </c>
      <c r="H747" t="s">
        <v>23</v>
      </c>
      <c r="I747">
        <v>18</v>
      </c>
      <c r="J747">
        <v>4</v>
      </c>
      <c r="K747" t="s">
        <v>27</v>
      </c>
      <c r="L747">
        <v>1</v>
      </c>
      <c r="M747">
        <v>1034</v>
      </c>
      <c r="O747">
        <v>3</v>
      </c>
      <c r="P747">
        <v>2</v>
      </c>
      <c r="Q747" t="s">
        <v>29</v>
      </c>
      <c r="R747">
        <v>2</v>
      </c>
      <c r="S747">
        <v>6385</v>
      </c>
      <c r="T747" t="s">
        <v>16</v>
      </c>
    </row>
    <row r="748" spans="1:20" x14ac:dyDescent="0.25">
      <c r="A748">
        <v>41</v>
      </c>
      <c r="B748" t="str">
        <f t="shared" si="11"/>
        <v>35-44</v>
      </c>
      <c r="C748" t="s">
        <v>21</v>
      </c>
      <c r="F748" t="s">
        <v>30</v>
      </c>
      <c r="G748">
        <v>247</v>
      </c>
      <c r="H748" t="s">
        <v>23</v>
      </c>
      <c r="I748">
        <v>7</v>
      </c>
      <c r="J748">
        <v>1</v>
      </c>
      <c r="K748" t="s">
        <v>19</v>
      </c>
      <c r="L748">
        <v>1</v>
      </c>
      <c r="M748">
        <v>1035</v>
      </c>
      <c r="O748">
        <v>2</v>
      </c>
      <c r="P748">
        <v>5</v>
      </c>
      <c r="Q748" t="s">
        <v>33</v>
      </c>
      <c r="R748">
        <v>3</v>
      </c>
      <c r="S748">
        <v>19973</v>
      </c>
      <c r="T748" t="s">
        <v>21</v>
      </c>
    </row>
    <row r="749" spans="1:20" x14ac:dyDescent="0.25">
      <c r="A749">
        <v>38</v>
      </c>
      <c r="B749" t="str">
        <f t="shared" si="11"/>
        <v>35-44</v>
      </c>
      <c r="C749" t="s">
        <v>21</v>
      </c>
      <c r="F749" t="s">
        <v>17</v>
      </c>
      <c r="G749">
        <v>1035</v>
      </c>
      <c r="H749" t="s">
        <v>18</v>
      </c>
      <c r="I749">
        <v>3</v>
      </c>
      <c r="J749">
        <v>4</v>
      </c>
      <c r="K749" t="s">
        <v>19</v>
      </c>
      <c r="L749">
        <v>1</v>
      </c>
      <c r="M749">
        <v>1036</v>
      </c>
      <c r="O749">
        <v>2</v>
      </c>
      <c r="P749">
        <v>2</v>
      </c>
      <c r="Q749" t="s">
        <v>20</v>
      </c>
      <c r="R749">
        <v>4</v>
      </c>
      <c r="S749">
        <v>6861</v>
      </c>
      <c r="T749" t="s">
        <v>16</v>
      </c>
    </row>
    <row r="750" spans="1:20" x14ac:dyDescent="0.25">
      <c r="A750">
        <v>26</v>
      </c>
      <c r="B750" t="str">
        <f t="shared" si="11"/>
        <v>25-34</v>
      </c>
      <c r="C750" t="s">
        <v>16</v>
      </c>
      <c r="F750" t="s">
        <v>30</v>
      </c>
      <c r="G750">
        <v>265</v>
      </c>
      <c r="H750" t="s">
        <v>18</v>
      </c>
      <c r="I750">
        <v>29</v>
      </c>
      <c r="J750">
        <v>2</v>
      </c>
      <c r="K750" t="s">
        <v>27</v>
      </c>
      <c r="L750">
        <v>1</v>
      </c>
      <c r="M750">
        <v>1037</v>
      </c>
      <c r="O750">
        <v>2</v>
      </c>
      <c r="P750">
        <v>2</v>
      </c>
      <c r="Q750" t="s">
        <v>20</v>
      </c>
      <c r="R750">
        <v>1</v>
      </c>
      <c r="S750">
        <v>4969</v>
      </c>
      <c r="T750" t="s">
        <v>21</v>
      </c>
    </row>
    <row r="751" spans="1:20" x14ac:dyDescent="0.25">
      <c r="A751">
        <v>52</v>
      </c>
      <c r="B751" t="str">
        <f t="shared" si="11"/>
        <v>45-54</v>
      </c>
      <c r="C751" t="s">
        <v>16</v>
      </c>
      <c r="F751" t="s">
        <v>17</v>
      </c>
      <c r="G751">
        <v>266</v>
      </c>
      <c r="H751" t="s">
        <v>18</v>
      </c>
      <c r="I751">
        <v>2</v>
      </c>
      <c r="J751">
        <v>1</v>
      </c>
      <c r="K751" t="s">
        <v>34</v>
      </c>
      <c r="L751">
        <v>1</v>
      </c>
      <c r="M751">
        <v>1038</v>
      </c>
      <c r="O751">
        <v>1</v>
      </c>
      <c r="P751">
        <v>5</v>
      </c>
      <c r="Q751" t="s">
        <v>31</v>
      </c>
      <c r="R751">
        <v>4</v>
      </c>
      <c r="S751">
        <v>19845</v>
      </c>
      <c r="T751" t="s">
        <v>21</v>
      </c>
    </row>
    <row r="752" spans="1:20" x14ac:dyDescent="0.25">
      <c r="A752">
        <v>44</v>
      </c>
      <c r="B752" t="str">
        <f t="shared" si="11"/>
        <v>35-44</v>
      </c>
      <c r="C752" t="s">
        <v>21</v>
      </c>
      <c r="F752" t="s">
        <v>17</v>
      </c>
      <c r="G752">
        <v>1448</v>
      </c>
      <c r="H752" t="s">
        <v>18</v>
      </c>
      <c r="I752">
        <v>28</v>
      </c>
      <c r="J752">
        <v>3</v>
      </c>
      <c r="K752" t="s">
        <v>27</v>
      </c>
      <c r="L752">
        <v>1</v>
      </c>
      <c r="M752">
        <v>1039</v>
      </c>
      <c r="O752">
        <v>4</v>
      </c>
      <c r="P752">
        <v>4</v>
      </c>
      <c r="Q752" t="s">
        <v>20</v>
      </c>
      <c r="R752">
        <v>4</v>
      </c>
      <c r="S752">
        <v>13320</v>
      </c>
      <c r="T752" t="s">
        <v>16</v>
      </c>
    </row>
    <row r="753" spans="1:20" x14ac:dyDescent="0.25">
      <c r="A753">
        <v>50</v>
      </c>
      <c r="B753" t="str">
        <f t="shared" si="11"/>
        <v>45-54</v>
      </c>
      <c r="C753" t="s">
        <v>21</v>
      </c>
      <c r="F753" t="s">
        <v>30</v>
      </c>
      <c r="G753">
        <v>145</v>
      </c>
      <c r="H753" t="s">
        <v>18</v>
      </c>
      <c r="I753">
        <v>1</v>
      </c>
      <c r="J753">
        <v>3</v>
      </c>
      <c r="K753" t="s">
        <v>19</v>
      </c>
      <c r="L753">
        <v>1</v>
      </c>
      <c r="M753">
        <v>1040</v>
      </c>
      <c r="O753">
        <v>4</v>
      </c>
      <c r="P753">
        <v>2</v>
      </c>
      <c r="Q753" t="s">
        <v>20</v>
      </c>
      <c r="R753">
        <v>3</v>
      </c>
      <c r="S753">
        <v>6347</v>
      </c>
      <c r="T753" t="s">
        <v>21</v>
      </c>
    </row>
    <row r="754" spans="1:20" x14ac:dyDescent="0.25">
      <c r="A754">
        <v>36</v>
      </c>
      <c r="B754" t="str">
        <f t="shared" si="11"/>
        <v>35-44</v>
      </c>
      <c r="C754" t="s">
        <v>16</v>
      </c>
      <c r="F754" t="s">
        <v>17</v>
      </c>
      <c r="G754">
        <v>885</v>
      </c>
      <c r="H754" t="s">
        <v>23</v>
      </c>
      <c r="I754">
        <v>16</v>
      </c>
      <c r="J754">
        <v>4</v>
      </c>
      <c r="K754" t="s">
        <v>19</v>
      </c>
      <c r="L754">
        <v>1</v>
      </c>
      <c r="M754">
        <v>1042</v>
      </c>
      <c r="O754">
        <v>3</v>
      </c>
      <c r="P754">
        <v>1</v>
      </c>
      <c r="Q754" t="s">
        <v>26</v>
      </c>
      <c r="R754">
        <v>1</v>
      </c>
      <c r="S754">
        <v>2743</v>
      </c>
      <c r="T754" t="s">
        <v>21</v>
      </c>
    </row>
    <row r="755" spans="1:20" x14ac:dyDescent="0.25">
      <c r="A755">
        <v>39</v>
      </c>
      <c r="B755" t="str">
        <f t="shared" si="11"/>
        <v>35-44</v>
      </c>
      <c r="C755" t="s">
        <v>21</v>
      </c>
      <c r="F755" t="s">
        <v>22</v>
      </c>
      <c r="G755">
        <v>945</v>
      </c>
      <c r="H755" t="s">
        <v>23</v>
      </c>
      <c r="I755">
        <v>22</v>
      </c>
      <c r="J755">
        <v>3</v>
      </c>
      <c r="K755" t="s">
        <v>27</v>
      </c>
      <c r="L755">
        <v>1</v>
      </c>
      <c r="M755">
        <v>1043</v>
      </c>
      <c r="O755">
        <v>4</v>
      </c>
      <c r="P755">
        <v>3</v>
      </c>
      <c r="Q755" t="s">
        <v>28</v>
      </c>
      <c r="R755">
        <v>1</v>
      </c>
      <c r="S755">
        <v>10880</v>
      </c>
      <c r="T755" t="s">
        <v>16</v>
      </c>
    </row>
    <row r="756" spans="1:20" x14ac:dyDescent="0.25">
      <c r="A756">
        <v>33</v>
      </c>
      <c r="B756" t="str">
        <f t="shared" si="11"/>
        <v>25-34</v>
      </c>
      <c r="C756" t="s">
        <v>21</v>
      </c>
      <c r="F756" t="s">
        <v>30</v>
      </c>
      <c r="G756">
        <v>1038</v>
      </c>
      <c r="H756" t="s">
        <v>18</v>
      </c>
      <c r="I756">
        <v>8</v>
      </c>
      <c r="J756">
        <v>1</v>
      </c>
      <c r="K756" t="s">
        <v>19</v>
      </c>
      <c r="L756">
        <v>1</v>
      </c>
      <c r="M756">
        <v>1044</v>
      </c>
      <c r="O756">
        <v>2</v>
      </c>
      <c r="P756">
        <v>1</v>
      </c>
      <c r="Q756" t="s">
        <v>32</v>
      </c>
      <c r="R756">
        <v>4</v>
      </c>
      <c r="S756">
        <v>2342</v>
      </c>
      <c r="T756" t="s">
        <v>21</v>
      </c>
    </row>
    <row r="757" spans="1:20" x14ac:dyDescent="0.25">
      <c r="A757">
        <v>45</v>
      </c>
      <c r="B757" t="str">
        <f t="shared" si="11"/>
        <v>45-54</v>
      </c>
      <c r="C757" t="s">
        <v>21</v>
      </c>
      <c r="F757" t="s">
        <v>17</v>
      </c>
      <c r="G757">
        <v>1234</v>
      </c>
      <c r="H757" t="s">
        <v>18</v>
      </c>
      <c r="I757">
        <v>11</v>
      </c>
      <c r="J757">
        <v>2</v>
      </c>
      <c r="K757" t="s">
        <v>19</v>
      </c>
      <c r="L757">
        <v>1</v>
      </c>
      <c r="M757">
        <v>1045</v>
      </c>
      <c r="O757">
        <v>4</v>
      </c>
      <c r="P757">
        <v>4</v>
      </c>
      <c r="Q757" t="s">
        <v>31</v>
      </c>
      <c r="R757">
        <v>4</v>
      </c>
      <c r="S757">
        <v>17650</v>
      </c>
      <c r="T757" t="s">
        <v>21</v>
      </c>
    </row>
    <row r="758" spans="1:20" x14ac:dyDescent="0.25">
      <c r="A758">
        <v>32</v>
      </c>
      <c r="B758" t="str">
        <f t="shared" si="11"/>
        <v>25-34</v>
      </c>
      <c r="C758" t="s">
        <v>21</v>
      </c>
      <c r="F758" t="s">
        <v>30</v>
      </c>
      <c r="G758">
        <v>1109</v>
      </c>
      <c r="H758" t="s">
        <v>23</v>
      </c>
      <c r="I758">
        <v>29</v>
      </c>
      <c r="J758">
        <v>4</v>
      </c>
      <c r="K758" t="s">
        <v>27</v>
      </c>
      <c r="L758">
        <v>1</v>
      </c>
      <c r="M758">
        <v>1046</v>
      </c>
      <c r="O758">
        <v>4</v>
      </c>
      <c r="P758">
        <v>1</v>
      </c>
      <c r="Q758" t="s">
        <v>26</v>
      </c>
      <c r="R758">
        <v>3</v>
      </c>
      <c r="S758">
        <v>4025</v>
      </c>
      <c r="T758" t="s">
        <v>21</v>
      </c>
    </row>
    <row r="759" spans="1:20" x14ac:dyDescent="0.25">
      <c r="A759">
        <v>34</v>
      </c>
      <c r="B759" t="str">
        <f t="shared" si="11"/>
        <v>25-34</v>
      </c>
      <c r="C759" t="s">
        <v>21</v>
      </c>
      <c r="F759" t="s">
        <v>17</v>
      </c>
      <c r="G759">
        <v>216</v>
      </c>
      <c r="H759" t="s">
        <v>18</v>
      </c>
      <c r="I759">
        <v>1</v>
      </c>
      <c r="J759">
        <v>4</v>
      </c>
      <c r="K759" t="s">
        <v>34</v>
      </c>
      <c r="L759">
        <v>1</v>
      </c>
      <c r="M759">
        <v>1047</v>
      </c>
      <c r="O759">
        <v>2</v>
      </c>
      <c r="P759">
        <v>2</v>
      </c>
      <c r="Q759" t="s">
        <v>20</v>
      </c>
      <c r="R759">
        <v>4</v>
      </c>
      <c r="S759">
        <v>9725</v>
      </c>
      <c r="T759" t="s">
        <v>21</v>
      </c>
    </row>
    <row r="760" spans="1:20" x14ac:dyDescent="0.25">
      <c r="A760">
        <v>59</v>
      </c>
      <c r="B760" t="str">
        <f t="shared" si="11"/>
        <v>55+</v>
      </c>
      <c r="C760" t="s">
        <v>21</v>
      </c>
      <c r="F760" t="s">
        <v>17</v>
      </c>
      <c r="G760">
        <v>1089</v>
      </c>
      <c r="H760" t="s">
        <v>18</v>
      </c>
      <c r="I760">
        <v>1</v>
      </c>
      <c r="J760">
        <v>2</v>
      </c>
      <c r="K760" t="s">
        <v>35</v>
      </c>
      <c r="L760">
        <v>1</v>
      </c>
      <c r="M760">
        <v>1048</v>
      </c>
      <c r="O760">
        <v>2</v>
      </c>
      <c r="P760">
        <v>3</v>
      </c>
      <c r="Q760" t="s">
        <v>31</v>
      </c>
      <c r="R760">
        <v>4</v>
      </c>
      <c r="S760">
        <v>11904</v>
      </c>
      <c r="T760" t="s">
        <v>16</v>
      </c>
    </row>
    <row r="761" spans="1:20" x14ac:dyDescent="0.25">
      <c r="A761">
        <v>45</v>
      </c>
      <c r="B761" t="str">
        <f t="shared" si="11"/>
        <v>45-54</v>
      </c>
      <c r="C761" t="s">
        <v>21</v>
      </c>
      <c r="F761" t="s">
        <v>17</v>
      </c>
      <c r="G761">
        <v>788</v>
      </c>
      <c r="H761" t="s">
        <v>36</v>
      </c>
      <c r="I761">
        <v>24</v>
      </c>
      <c r="J761">
        <v>4</v>
      </c>
      <c r="K761" t="s">
        <v>27</v>
      </c>
      <c r="L761">
        <v>1</v>
      </c>
      <c r="M761">
        <v>1049</v>
      </c>
      <c r="O761">
        <v>2</v>
      </c>
      <c r="P761">
        <v>1</v>
      </c>
      <c r="Q761" t="s">
        <v>36</v>
      </c>
      <c r="R761">
        <v>2</v>
      </c>
      <c r="S761">
        <v>2177</v>
      </c>
      <c r="T761" t="s">
        <v>21</v>
      </c>
    </row>
    <row r="762" spans="1:20" x14ac:dyDescent="0.25">
      <c r="A762">
        <v>53</v>
      </c>
      <c r="B762" t="str">
        <f t="shared" si="11"/>
        <v>45-54</v>
      </c>
      <c r="C762" t="s">
        <v>21</v>
      </c>
      <c r="F762" t="s">
        <v>22</v>
      </c>
      <c r="G762">
        <v>124</v>
      </c>
      <c r="H762" t="s">
        <v>18</v>
      </c>
      <c r="I762">
        <v>2</v>
      </c>
      <c r="J762">
        <v>3</v>
      </c>
      <c r="K762" t="s">
        <v>34</v>
      </c>
      <c r="L762">
        <v>1</v>
      </c>
      <c r="M762">
        <v>1050</v>
      </c>
      <c r="O762">
        <v>3</v>
      </c>
      <c r="P762">
        <v>3</v>
      </c>
      <c r="Q762" t="s">
        <v>20</v>
      </c>
      <c r="R762">
        <v>2</v>
      </c>
      <c r="S762">
        <v>7525</v>
      </c>
      <c r="T762" t="s">
        <v>21</v>
      </c>
    </row>
    <row r="763" spans="1:20" x14ac:dyDescent="0.25">
      <c r="A763">
        <v>36</v>
      </c>
      <c r="B763" t="str">
        <f t="shared" si="11"/>
        <v>35-44</v>
      </c>
      <c r="C763" t="s">
        <v>16</v>
      </c>
      <c r="F763" t="s">
        <v>17</v>
      </c>
      <c r="G763">
        <v>660</v>
      </c>
      <c r="H763" t="s">
        <v>23</v>
      </c>
      <c r="I763">
        <v>15</v>
      </c>
      <c r="J763">
        <v>3</v>
      </c>
      <c r="K763" t="s">
        <v>25</v>
      </c>
      <c r="L763">
        <v>1</v>
      </c>
      <c r="M763">
        <v>1052</v>
      </c>
      <c r="O763">
        <v>1</v>
      </c>
      <c r="P763">
        <v>2</v>
      </c>
      <c r="Q763" t="s">
        <v>26</v>
      </c>
      <c r="R763">
        <v>3</v>
      </c>
      <c r="S763">
        <v>4834</v>
      </c>
      <c r="T763" t="s">
        <v>21</v>
      </c>
    </row>
    <row r="764" spans="1:20" x14ac:dyDescent="0.25">
      <c r="A764">
        <v>26</v>
      </c>
      <c r="B764" t="str">
        <f t="shared" si="11"/>
        <v>25-34</v>
      </c>
      <c r="C764" t="s">
        <v>16</v>
      </c>
      <c r="F764" t="s">
        <v>22</v>
      </c>
      <c r="G764">
        <v>342</v>
      </c>
      <c r="H764" t="s">
        <v>23</v>
      </c>
      <c r="I764">
        <v>2</v>
      </c>
      <c r="J764">
        <v>3</v>
      </c>
      <c r="K764" t="s">
        <v>19</v>
      </c>
      <c r="L764">
        <v>1</v>
      </c>
      <c r="M764">
        <v>1053</v>
      </c>
      <c r="O764">
        <v>1</v>
      </c>
      <c r="P764">
        <v>1</v>
      </c>
      <c r="Q764" t="s">
        <v>24</v>
      </c>
      <c r="R764">
        <v>1</v>
      </c>
      <c r="S764">
        <v>2042</v>
      </c>
      <c r="T764" t="s">
        <v>16</v>
      </c>
    </row>
    <row r="765" spans="1:20" x14ac:dyDescent="0.25">
      <c r="A765">
        <v>34</v>
      </c>
      <c r="B765" t="str">
        <f t="shared" si="11"/>
        <v>25-34</v>
      </c>
      <c r="C765" t="s">
        <v>21</v>
      </c>
      <c r="F765" t="s">
        <v>17</v>
      </c>
      <c r="G765">
        <v>1333</v>
      </c>
      <c r="H765" t="s">
        <v>18</v>
      </c>
      <c r="I765">
        <v>10</v>
      </c>
      <c r="J765">
        <v>4</v>
      </c>
      <c r="K765" t="s">
        <v>19</v>
      </c>
      <c r="L765">
        <v>1</v>
      </c>
      <c r="M765">
        <v>1055</v>
      </c>
      <c r="O765">
        <v>3</v>
      </c>
      <c r="P765">
        <v>1</v>
      </c>
      <c r="Q765" t="s">
        <v>32</v>
      </c>
      <c r="R765">
        <v>3</v>
      </c>
      <c r="S765">
        <v>2220</v>
      </c>
      <c r="T765" t="s">
        <v>16</v>
      </c>
    </row>
    <row r="766" spans="1:20" x14ac:dyDescent="0.25">
      <c r="A766">
        <v>28</v>
      </c>
      <c r="B766" t="str">
        <f t="shared" si="11"/>
        <v>25-34</v>
      </c>
      <c r="C766" t="s">
        <v>21</v>
      </c>
      <c r="F766" t="s">
        <v>17</v>
      </c>
      <c r="G766">
        <v>1144</v>
      </c>
      <c r="H766" t="s">
        <v>18</v>
      </c>
      <c r="I766">
        <v>10</v>
      </c>
      <c r="J766">
        <v>1</v>
      </c>
      <c r="K766" t="s">
        <v>27</v>
      </c>
      <c r="L766">
        <v>1</v>
      </c>
      <c r="M766">
        <v>1056</v>
      </c>
      <c r="O766">
        <v>4</v>
      </c>
      <c r="P766">
        <v>1</v>
      </c>
      <c r="Q766" t="s">
        <v>32</v>
      </c>
      <c r="R766">
        <v>2</v>
      </c>
      <c r="S766">
        <v>1052</v>
      </c>
      <c r="T766" t="s">
        <v>21</v>
      </c>
    </row>
    <row r="767" spans="1:20" x14ac:dyDescent="0.25">
      <c r="A767">
        <v>38</v>
      </c>
      <c r="B767" t="str">
        <f t="shared" si="11"/>
        <v>35-44</v>
      </c>
      <c r="C767" t="s">
        <v>21</v>
      </c>
      <c r="F767" t="s">
        <v>22</v>
      </c>
      <c r="G767">
        <v>1186</v>
      </c>
      <c r="H767" t="s">
        <v>23</v>
      </c>
      <c r="I767">
        <v>3</v>
      </c>
      <c r="J767">
        <v>4</v>
      </c>
      <c r="K767" t="s">
        <v>25</v>
      </c>
      <c r="L767">
        <v>1</v>
      </c>
      <c r="M767">
        <v>1060</v>
      </c>
      <c r="O767">
        <v>3</v>
      </c>
      <c r="P767">
        <v>1</v>
      </c>
      <c r="Q767" t="s">
        <v>24</v>
      </c>
      <c r="R767">
        <v>3</v>
      </c>
      <c r="S767">
        <v>2821</v>
      </c>
      <c r="T767" t="s">
        <v>21</v>
      </c>
    </row>
    <row r="768" spans="1:20" x14ac:dyDescent="0.25">
      <c r="A768">
        <v>50</v>
      </c>
      <c r="B768" t="str">
        <f t="shared" si="11"/>
        <v>45-54</v>
      </c>
      <c r="C768" t="s">
        <v>21</v>
      </c>
      <c r="F768" t="s">
        <v>17</v>
      </c>
      <c r="G768">
        <v>1464</v>
      </c>
      <c r="H768" t="s">
        <v>23</v>
      </c>
      <c r="I768">
        <v>2</v>
      </c>
      <c r="J768">
        <v>4</v>
      </c>
      <c r="K768" t="s">
        <v>27</v>
      </c>
      <c r="L768">
        <v>1</v>
      </c>
      <c r="M768">
        <v>1061</v>
      </c>
      <c r="O768">
        <v>2</v>
      </c>
      <c r="P768">
        <v>5</v>
      </c>
      <c r="Q768" t="s">
        <v>33</v>
      </c>
      <c r="R768">
        <v>3</v>
      </c>
      <c r="S768">
        <v>19237</v>
      </c>
      <c r="T768" t="s">
        <v>16</v>
      </c>
    </row>
    <row r="769" spans="1:20" x14ac:dyDescent="0.25">
      <c r="A769">
        <v>37</v>
      </c>
      <c r="B769" t="str">
        <f t="shared" si="11"/>
        <v>35-44</v>
      </c>
      <c r="C769" t="s">
        <v>21</v>
      </c>
      <c r="F769" t="s">
        <v>17</v>
      </c>
      <c r="G769">
        <v>124</v>
      </c>
      <c r="H769" t="s">
        <v>23</v>
      </c>
      <c r="I769">
        <v>3</v>
      </c>
      <c r="J769">
        <v>3</v>
      </c>
      <c r="K769" t="s">
        <v>25</v>
      </c>
      <c r="L769">
        <v>1</v>
      </c>
      <c r="M769">
        <v>1062</v>
      </c>
      <c r="O769">
        <v>4</v>
      </c>
      <c r="P769">
        <v>2</v>
      </c>
      <c r="Q769" t="s">
        <v>29</v>
      </c>
      <c r="R769">
        <v>2</v>
      </c>
      <c r="S769">
        <v>4107</v>
      </c>
      <c r="T769" t="s">
        <v>21</v>
      </c>
    </row>
    <row r="770" spans="1:20" x14ac:dyDescent="0.25">
      <c r="A770">
        <v>40</v>
      </c>
      <c r="B770" t="str">
        <f t="shared" si="11"/>
        <v>35-44</v>
      </c>
      <c r="C770" t="s">
        <v>21</v>
      </c>
      <c r="F770" t="s">
        <v>17</v>
      </c>
      <c r="G770">
        <v>300</v>
      </c>
      <c r="H770" t="s">
        <v>18</v>
      </c>
      <c r="I770">
        <v>26</v>
      </c>
      <c r="J770">
        <v>3</v>
      </c>
      <c r="K770" t="s">
        <v>34</v>
      </c>
      <c r="L770">
        <v>1</v>
      </c>
      <c r="M770">
        <v>1066</v>
      </c>
      <c r="O770">
        <v>3</v>
      </c>
      <c r="P770">
        <v>2</v>
      </c>
      <c r="Q770" t="s">
        <v>20</v>
      </c>
      <c r="R770">
        <v>1</v>
      </c>
      <c r="S770">
        <v>8396</v>
      </c>
      <c r="T770" t="s">
        <v>21</v>
      </c>
    </row>
    <row r="771" spans="1:20" x14ac:dyDescent="0.25">
      <c r="A771">
        <v>26</v>
      </c>
      <c r="B771" t="str">
        <f t="shared" ref="B771:B834" si="12">IF(A771&lt;=24,"18-24",IF(A771&lt;=34,"25-34",IF(A771&lt;=44,"35-44",IF(A771&lt;=54,"45-54","55+"))))</f>
        <v>25-34</v>
      </c>
      <c r="C771" t="s">
        <v>21</v>
      </c>
      <c r="F771" t="s">
        <v>22</v>
      </c>
      <c r="G771">
        <v>921</v>
      </c>
      <c r="H771" t="s">
        <v>23</v>
      </c>
      <c r="I771">
        <v>1</v>
      </c>
      <c r="J771">
        <v>1</v>
      </c>
      <c r="K771" t="s">
        <v>27</v>
      </c>
      <c r="L771">
        <v>1</v>
      </c>
      <c r="M771">
        <v>1068</v>
      </c>
      <c r="O771">
        <v>1</v>
      </c>
      <c r="P771">
        <v>1</v>
      </c>
      <c r="Q771" t="s">
        <v>24</v>
      </c>
      <c r="R771">
        <v>3</v>
      </c>
      <c r="S771">
        <v>2007</v>
      </c>
      <c r="T771" t="s">
        <v>21</v>
      </c>
    </row>
    <row r="772" spans="1:20" x14ac:dyDescent="0.25">
      <c r="A772">
        <v>46</v>
      </c>
      <c r="B772" t="str">
        <f t="shared" si="12"/>
        <v>45-54</v>
      </c>
      <c r="C772" t="s">
        <v>21</v>
      </c>
      <c r="F772" t="s">
        <v>17</v>
      </c>
      <c r="G772">
        <v>430</v>
      </c>
      <c r="H772" t="s">
        <v>23</v>
      </c>
      <c r="I772">
        <v>1</v>
      </c>
      <c r="J772">
        <v>4</v>
      </c>
      <c r="K772" t="s">
        <v>27</v>
      </c>
      <c r="L772">
        <v>1</v>
      </c>
      <c r="M772">
        <v>1069</v>
      </c>
      <c r="O772">
        <v>4</v>
      </c>
      <c r="P772">
        <v>5</v>
      </c>
      <c r="Q772" t="s">
        <v>33</v>
      </c>
      <c r="R772">
        <v>4</v>
      </c>
      <c r="S772">
        <v>19627</v>
      </c>
      <c r="T772" t="s">
        <v>21</v>
      </c>
    </row>
    <row r="773" spans="1:20" x14ac:dyDescent="0.25">
      <c r="A773">
        <v>54</v>
      </c>
      <c r="B773" t="str">
        <f t="shared" si="12"/>
        <v>45-54</v>
      </c>
      <c r="C773" t="s">
        <v>21</v>
      </c>
      <c r="F773" t="s">
        <v>17</v>
      </c>
      <c r="G773">
        <v>1082</v>
      </c>
      <c r="H773" t="s">
        <v>18</v>
      </c>
      <c r="I773">
        <v>2</v>
      </c>
      <c r="J773">
        <v>4</v>
      </c>
      <c r="K773" t="s">
        <v>19</v>
      </c>
      <c r="L773">
        <v>1</v>
      </c>
      <c r="M773">
        <v>1070</v>
      </c>
      <c r="O773">
        <v>3</v>
      </c>
      <c r="P773">
        <v>3</v>
      </c>
      <c r="Q773" t="s">
        <v>20</v>
      </c>
      <c r="R773">
        <v>3</v>
      </c>
      <c r="S773">
        <v>10686</v>
      </c>
      <c r="T773" t="s">
        <v>21</v>
      </c>
    </row>
    <row r="774" spans="1:20" x14ac:dyDescent="0.25">
      <c r="A774">
        <v>56</v>
      </c>
      <c r="B774" t="str">
        <f t="shared" si="12"/>
        <v>55+</v>
      </c>
      <c r="C774" t="s">
        <v>21</v>
      </c>
      <c r="F774" t="s">
        <v>22</v>
      </c>
      <c r="G774">
        <v>1240</v>
      </c>
      <c r="H774" t="s">
        <v>23</v>
      </c>
      <c r="I774">
        <v>9</v>
      </c>
      <c r="J774">
        <v>3</v>
      </c>
      <c r="K774" t="s">
        <v>27</v>
      </c>
      <c r="L774">
        <v>1</v>
      </c>
      <c r="M774">
        <v>1071</v>
      </c>
      <c r="O774">
        <v>1</v>
      </c>
      <c r="P774">
        <v>1</v>
      </c>
      <c r="Q774" t="s">
        <v>24</v>
      </c>
      <c r="R774">
        <v>3</v>
      </c>
      <c r="S774">
        <v>2942</v>
      </c>
      <c r="T774" t="s">
        <v>21</v>
      </c>
    </row>
    <row r="775" spans="1:20" x14ac:dyDescent="0.25">
      <c r="A775">
        <v>36</v>
      </c>
      <c r="B775" t="str">
        <f t="shared" si="12"/>
        <v>35-44</v>
      </c>
      <c r="C775" t="s">
        <v>21</v>
      </c>
      <c r="F775" t="s">
        <v>17</v>
      </c>
      <c r="G775">
        <v>796</v>
      </c>
      <c r="H775" t="s">
        <v>23</v>
      </c>
      <c r="I775">
        <v>12</v>
      </c>
      <c r="J775">
        <v>5</v>
      </c>
      <c r="K775" t="s">
        <v>27</v>
      </c>
      <c r="L775">
        <v>1</v>
      </c>
      <c r="M775">
        <v>1073</v>
      </c>
      <c r="O775">
        <v>4</v>
      </c>
      <c r="P775">
        <v>3</v>
      </c>
      <c r="Q775" t="s">
        <v>28</v>
      </c>
      <c r="R775">
        <v>4</v>
      </c>
      <c r="S775">
        <v>8858</v>
      </c>
      <c r="T775" t="s">
        <v>21</v>
      </c>
    </row>
    <row r="776" spans="1:20" x14ac:dyDescent="0.25">
      <c r="A776">
        <v>55</v>
      </c>
      <c r="B776" t="str">
        <f t="shared" si="12"/>
        <v>55+</v>
      </c>
      <c r="C776" t="s">
        <v>21</v>
      </c>
      <c r="F776" t="s">
        <v>30</v>
      </c>
      <c r="G776">
        <v>444</v>
      </c>
      <c r="H776" t="s">
        <v>23</v>
      </c>
      <c r="I776">
        <v>2</v>
      </c>
      <c r="J776">
        <v>1</v>
      </c>
      <c r="K776" t="s">
        <v>27</v>
      </c>
      <c r="L776">
        <v>1</v>
      </c>
      <c r="M776">
        <v>1074</v>
      </c>
      <c r="O776">
        <v>3</v>
      </c>
      <c r="P776">
        <v>4</v>
      </c>
      <c r="Q776" t="s">
        <v>31</v>
      </c>
      <c r="R776">
        <v>1</v>
      </c>
      <c r="S776">
        <v>16756</v>
      </c>
      <c r="T776" t="s">
        <v>21</v>
      </c>
    </row>
    <row r="777" spans="1:20" x14ac:dyDescent="0.25">
      <c r="A777">
        <v>43</v>
      </c>
      <c r="B777" t="str">
        <f t="shared" si="12"/>
        <v>35-44</v>
      </c>
      <c r="C777" t="s">
        <v>21</v>
      </c>
      <c r="F777" t="s">
        <v>17</v>
      </c>
      <c r="G777">
        <v>415</v>
      </c>
      <c r="H777" t="s">
        <v>18</v>
      </c>
      <c r="I777">
        <v>25</v>
      </c>
      <c r="J777">
        <v>3</v>
      </c>
      <c r="K777" t="s">
        <v>27</v>
      </c>
      <c r="L777">
        <v>1</v>
      </c>
      <c r="M777">
        <v>1076</v>
      </c>
      <c r="O777">
        <v>3</v>
      </c>
      <c r="P777">
        <v>3</v>
      </c>
      <c r="Q777" t="s">
        <v>20</v>
      </c>
      <c r="R777">
        <v>4</v>
      </c>
      <c r="S777">
        <v>10798</v>
      </c>
      <c r="T777" t="s">
        <v>21</v>
      </c>
    </row>
    <row r="778" spans="1:20" x14ac:dyDescent="0.25">
      <c r="A778">
        <v>20</v>
      </c>
      <c r="B778" t="str">
        <f t="shared" si="12"/>
        <v>18-24</v>
      </c>
      <c r="C778" t="s">
        <v>16</v>
      </c>
      <c r="F778" t="s">
        <v>22</v>
      </c>
      <c r="G778">
        <v>769</v>
      </c>
      <c r="H778" t="s">
        <v>18</v>
      </c>
      <c r="I778">
        <v>9</v>
      </c>
      <c r="J778">
        <v>3</v>
      </c>
      <c r="K778" t="s">
        <v>34</v>
      </c>
      <c r="L778">
        <v>1</v>
      </c>
      <c r="M778">
        <v>1077</v>
      </c>
      <c r="O778">
        <v>4</v>
      </c>
      <c r="P778">
        <v>1</v>
      </c>
      <c r="Q778" t="s">
        <v>32</v>
      </c>
      <c r="R778">
        <v>4</v>
      </c>
      <c r="S778">
        <v>2323</v>
      </c>
      <c r="T778" t="s">
        <v>16</v>
      </c>
    </row>
    <row r="779" spans="1:20" x14ac:dyDescent="0.25">
      <c r="A779">
        <v>21</v>
      </c>
      <c r="B779" t="str">
        <f t="shared" si="12"/>
        <v>18-24</v>
      </c>
      <c r="C779" t="s">
        <v>16</v>
      </c>
      <c r="F779" t="s">
        <v>17</v>
      </c>
      <c r="G779">
        <v>1334</v>
      </c>
      <c r="H779" t="s">
        <v>23</v>
      </c>
      <c r="I779">
        <v>10</v>
      </c>
      <c r="J779">
        <v>3</v>
      </c>
      <c r="K779" t="s">
        <v>19</v>
      </c>
      <c r="L779">
        <v>1</v>
      </c>
      <c r="M779">
        <v>1079</v>
      </c>
      <c r="O779">
        <v>3</v>
      </c>
      <c r="P779">
        <v>1</v>
      </c>
      <c r="Q779" t="s">
        <v>26</v>
      </c>
      <c r="R779">
        <v>1</v>
      </c>
      <c r="S779">
        <v>1416</v>
      </c>
      <c r="T779" t="s">
        <v>21</v>
      </c>
    </row>
    <row r="780" spans="1:20" x14ac:dyDescent="0.25">
      <c r="A780">
        <v>46</v>
      </c>
      <c r="B780" t="str">
        <f t="shared" si="12"/>
        <v>45-54</v>
      </c>
      <c r="C780" t="s">
        <v>21</v>
      </c>
      <c r="F780" t="s">
        <v>17</v>
      </c>
      <c r="G780">
        <v>1003</v>
      </c>
      <c r="H780" t="s">
        <v>23</v>
      </c>
      <c r="I780">
        <v>8</v>
      </c>
      <c r="J780">
        <v>4</v>
      </c>
      <c r="K780" t="s">
        <v>19</v>
      </c>
      <c r="L780">
        <v>1</v>
      </c>
      <c r="M780">
        <v>1080</v>
      </c>
      <c r="O780">
        <v>4</v>
      </c>
      <c r="P780">
        <v>2</v>
      </c>
      <c r="Q780" t="s">
        <v>24</v>
      </c>
      <c r="R780">
        <v>1</v>
      </c>
      <c r="S780">
        <v>4615</v>
      </c>
      <c r="T780" t="s">
        <v>16</v>
      </c>
    </row>
    <row r="781" spans="1:20" x14ac:dyDescent="0.25">
      <c r="A781">
        <v>51</v>
      </c>
      <c r="B781" t="str">
        <f t="shared" si="12"/>
        <v>45-54</v>
      </c>
      <c r="C781" t="s">
        <v>16</v>
      </c>
      <c r="F781" t="s">
        <v>17</v>
      </c>
      <c r="G781">
        <v>1323</v>
      </c>
      <c r="H781" t="s">
        <v>23</v>
      </c>
      <c r="I781">
        <v>4</v>
      </c>
      <c r="J781">
        <v>4</v>
      </c>
      <c r="K781" t="s">
        <v>19</v>
      </c>
      <c r="L781">
        <v>1</v>
      </c>
      <c r="M781">
        <v>1081</v>
      </c>
      <c r="O781">
        <v>1</v>
      </c>
      <c r="P781">
        <v>1</v>
      </c>
      <c r="Q781" t="s">
        <v>24</v>
      </c>
      <c r="R781">
        <v>3</v>
      </c>
      <c r="S781">
        <v>2461</v>
      </c>
      <c r="T781" t="s">
        <v>16</v>
      </c>
    </row>
    <row r="782" spans="1:20" x14ac:dyDescent="0.25">
      <c r="A782">
        <v>28</v>
      </c>
      <c r="B782" t="str">
        <f t="shared" si="12"/>
        <v>25-34</v>
      </c>
      <c r="C782" t="s">
        <v>16</v>
      </c>
      <c r="F782" t="s">
        <v>30</v>
      </c>
      <c r="G782">
        <v>1366</v>
      </c>
      <c r="H782" t="s">
        <v>23</v>
      </c>
      <c r="I782">
        <v>24</v>
      </c>
      <c r="J782">
        <v>2</v>
      </c>
      <c r="K782" t="s">
        <v>35</v>
      </c>
      <c r="L782">
        <v>1</v>
      </c>
      <c r="M782">
        <v>1082</v>
      </c>
      <c r="O782">
        <v>2</v>
      </c>
      <c r="P782">
        <v>3</v>
      </c>
      <c r="Q782" t="s">
        <v>29</v>
      </c>
      <c r="R782">
        <v>1</v>
      </c>
      <c r="S782">
        <v>8722</v>
      </c>
      <c r="T782" t="s">
        <v>21</v>
      </c>
    </row>
    <row r="783" spans="1:20" x14ac:dyDescent="0.25">
      <c r="A783">
        <v>26</v>
      </c>
      <c r="B783" t="str">
        <f t="shared" si="12"/>
        <v>25-34</v>
      </c>
      <c r="C783" t="s">
        <v>21</v>
      </c>
      <c r="F783" t="s">
        <v>17</v>
      </c>
      <c r="G783">
        <v>192</v>
      </c>
      <c r="H783" t="s">
        <v>23</v>
      </c>
      <c r="I783">
        <v>1</v>
      </c>
      <c r="J783">
        <v>2</v>
      </c>
      <c r="K783" t="s">
        <v>27</v>
      </c>
      <c r="L783">
        <v>1</v>
      </c>
      <c r="M783">
        <v>1083</v>
      </c>
      <c r="O783">
        <v>1</v>
      </c>
      <c r="P783">
        <v>1</v>
      </c>
      <c r="Q783" t="s">
        <v>26</v>
      </c>
      <c r="R783">
        <v>1</v>
      </c>
      <c r="S783">
        <v>3955</v>
      </c>
      <c r="T783" t="s">
        <v>21</v>
      </c>
    </row>
    <row r="784" spans="1:20" x14ac:dyDescent="0.25">
      <c r="A784">
        <v>30</v>
      </c>
      <c r="B784" t="str">
        <f t="shared" si="12"/>
        <v>25-34</v>
      </c>
      <c r="C784" t="s">
        <v>21</v>
      </c>
      <c r="F784" t="s">
        <v>17</v>
      </c>
      <c r="G784">
        <v>1176</v>
      </c>
      <c r="H784" t="s">
        <v>23</v>
      </c>
      <c r="I784">
        <v>20</v>
      </c>
      <c r="J784">
        <v>3</v>
      </c>
      <c r="K784" t="s">
        <v>25</v>
      </c>
      <c r="L784">
        <v>1</v>
      </c>
      <c r="M784">
        <v>1084</v>
      </c>
      <c r="O784">
        <v>3</v>
      </c>
      <c r="P784">
        <v>2</v>
      </c>
      <c r="Q784" t="s">
        <v>28</v>
      </c>
      <c r="R784">
        <v>1</v>
      </c>
      <c r="S784">
        <v>9957</v>
      </c>
      <c r="T784" t="s">
        <v>21</v>
      </c>
    </row>
    <row r="785" spans="1:20" x14ac:dyDescent="0.25">
      <c r="A785">
        <v>41</v>
      </c>
      <c r="B785" t="str">
        <f t="shared" si="12"/>
        <v>35-44</v>
      </c>
      <c r="C785" t="s">
        <v>21</v>
      </c>
      <c r="F785" t="s">
        <v>17</v>
      </c>
      <c r="G785">
        <v>509</v>
      </c>
      <c r="H785" t="s">
        <v>23</v>
      </c>
      <c r="I785">
        <v>7</v>
      </c>
      <c r="J785">
        <v>2</v>
      </c>
      <c r="K785" t="s">
        <v>35</v>
      </c>
      <c r="L785">
        <v>1</v>
      </c>
      <c r="M785">
        <v>1085</v>
      </c>
      <c r="O785">
        <v>2</v>
      </c>
      <c r="P785">
        <v>1</v>
      </c>
      <c r="Q785" t="s">
        <v>24</v>
      </c>
      <c r="R785">
        <v>3</v>
      </c>
      <c r="S785">
        <v>3376</v>
      </c>
      <c r="T785" t="s">
        <v>21</v>
      </c>
    </row>
    <row r="786" spans="1:20" x14ac:dyDescent="0.25">
      <c r="A786">
        <v>38</v>
      </c>
      <c r="B786" t="str">
        <f t="shared" si="12"/>
        <v>35-44</v>
      </c>
      <c r="C786" t="s">
        <v>21</v>
      </c>
      <c r="F786" t="s">
        <v>17</v>
      </c>
      <c r="G786">
        <v>330</v>
      </c>
      <c r="H786" t="s">
        <v>23</v>
      </c>
      <c r="I786">
        <v>17</v>
      </c>
      <c r="J786">
        <v>1</v>
      </c>
      <c r="K786" t="s">
        <v>19</v>
      </c>
      <c r="L786">
        <v>1</v>
      </c>
      <c r="M786">
        <v>1088</v>
      </c>
      <c r="O786">
        <v>3</v>
      </c>
      <c r="P786">
        <v>3</v>
      </c>
      <c r="Q786" t="s">
        <v>29</v>
      </c>
      <c r="R786">
        <v>3</v>
      </c>
      <c r="S786">
        <v>8823</v>
      </c>
      <c r="T786" t="s">
        <v>21</v>
      </c>
    </row>
    <row r="787" spans="1:20" x14ac:dyDescent="0.25">
      <c r="A787">
        <v>40</v>
      </c>
      <c r="B787" t="str">
        <f t="shared" si="12"/>
        <v>35-44</v>
      </c>
      <c r="C787" t="s">
        <v>21</v>
      </c>
      <c r="F787" t="s">
        <v>17</v>
      </c>
      <c r="G787">
        <v>1492</v>
      </c>
      <c r="H787" t="s">
        <v>23</v>
      </c>
      <c r="I787">
        <v>20</v>
      </c>
      <c r="J787">
        <v>4</v>
      </c>
      <c r="K787" t="s">
        <v>35</v>
      </c>
      <c r="L787">
        <v>1</v>
      </c>
      <c r="M787">
        <v>1092</v>
      </c>
      <c r="O787">
        <v>1</v>
      </c>
      <c r="P787">
        <v>3</v>
      </c>
      <c r="Q787" t="s">
        <v>29</v>
      </c>
      <c r="R787">
        <v>4</v>
      </c>
      <c r="S787">
        <v>10322</v>
      </c>
      <c r="T787" t="s">
        <v>21</v>
      </c>
    </row>
    <row r="788" spans="1:20" x14ac:dyDescent="0.25">
      <c r="A788">
        <v>27</v>
      </c>
      <c r="B788" t="str">
        <f t="shared" si="12"/>
        <v>25-34</v>
      </c>
      <c r="C788" t="s">
        <v>21</v>
      </c>
      <c r="F788" t="s">
        <v>30</v>
      </c>
      <c r="G788">
        <v>1277</v>
      </c>
      <c r="H788" t="s">
        <v>23</v>
      </c>
      <c r="I788">
        <v>8</v>
      </c>
      <c r="J788">
        <v>5</v>
      </c>
      <c r="K788" t="s">
        <v>19</v>
      </c>
      <c r="L788">
        <v>1</v>
      </c>
      <c r="M788">
        <v>1094</v>
      </c>
      <c r="O788">
        <v>1</v>
      </c>
      <c r="P788">
        <v>1</v>
      </c>
      <c r="Q788" t="s">
        <v>26</v>
      </c>
      <c r="R788">
        <v>3</v>
      </c>
      <c r="S788">
        <v>4621</v>
      </c>
      <c r="T788" t="s">
        <v>21</v>
      </c>
    </row>
    <row r="789" spans="1:20" x14ac:dyDescent="0.25">
      <c r="A789">
        <v>55</v>
      </c>
      <c r="B789" t="str">
        <f t="shared" si="12"/>
        <v>55+</v>
      </c>
      <c r="C789" t="s">
        <v>21</v>
      </c>
      <c r="F789" t="s">
        <v>22</v>
      </c>
      <c r="G789">
        <v>1091</v>
      </c>
      <c r="H789" t="s">
        <v>23</v>
      </c>
      <c r="I789">
        <v>2</v>
      </c>
      <c r="J789">
        <v>1</v>
      </c>
      <c r="K789" t="s">
        <v>19</v>
      </c>
      <c r="L789">
        <v>1</v>
      </c>
      <c r="M789">
        <v>1096</v>
      </c>
      <c r="O789">
        <v>4</v>
      </c>
      <c r="P789">
        <v>3</v>
      </c>
      <c r="Q789" t="s">
        <v>28</v>
      </c>
      <c r="R789">
        <v>2</v>
      </c>
      <c r="S789">
        <v>10976</v>
      </c>
      <c r="T789" t="s">
        <v>21</v>
      </c>
    </row>
    <row r="790" spans="1:20" x14ac:dyDescent="0.25">
      <c r="A790">
        <v>28</v>
      </c>
      <c r="B790" t="str">
        <f t="shared" si="12"/>
        <v>25-34</v>
      </c>
      <c r="C790" t="s">
        <v>21</v>
      </c>
      <c r="F790" t="s">
        <v>17</v>
      </c>
      <c r="G790">
        <v>857</v>
      </c>
      <c r="H790" t="s">
        <v>23</v>
      </c>
      <c r="I790">
        <v>10</v>
      </c>
      <c r="J790">
        <v>3</v>
      </c>
      <c r="K790" t="s">
        <v>25</v>
      </c>
      <c r="L790">
        <v>1</v>
      </c>
      <c r="M790">
        <v>1097</v>
      </c>
      <c r="O790">
        <v>3</v>
      </c>
      <c r="P790">
        <v>2</v>
      </c>
      <c r="Q790" t="s">
        <v>24</v>
      </c>
      <c r="R790">
        <v>3</v>
      </c>
      <c r="S790">
        <v>3660</v>
      </c>
      <c r="T790" t="s">
        <v>21</v>
      </c>
    </row>
    <row r="791" spans="1:20" x14ac:dyDescent="0.25">
      <c r="A791">
        <v>44</v>
      </c>
      <c r="B791" t="str">
        <f t="shared" si="12"/>
        <v>35-44</v>
      </c>
      <c r="C791" t="s">
        <v>16</v>
      </c>
      <c r="F791" t="s">
        <v>17</v>
      </c>
      <c r="G791">
        <v>1376</v>
      </c>
      <c r="H791" t="s">
        <v>36</v>
      </c>
      <c r="I791">
        <v>1</v>
      </c>
      <c r="J791">
        <v>2</v>
      </c>
      <c r="K791" t="s">
        <v>27</v>
      </c>
      <c r="L791">
        <v>1</v>
      </c>
      <c r="M791">
        <v>1098</v>
      </c>
      <c r="O791">
        <v>2</v>
      </c>
      <c r="P791">
        <v>3</v>
      </c>
      <c r="Q791" t="s">
        <v>36</v>
      </c>
      <c r="R791">
        <v>1</v>
      </c>
      <c r="S791">
        <v>10482</v>
      </c>
      <c r="T791" t="s">
        <v>21</v>
      </c>
    </row>
    <row r="792" spans="1:20" x14ac:dyDescent="0.25">
      <c r="A792">
        <v>33</v>
      </c>
      <c r="B792" t="str">
        <f t="shared" si="12"/>
        <v>25-34</v>
      </c>
      <c r="C792" t="s">
        <v>21</v>
      </c>
      <c r="F792" t="s">
        <v>17</v>
      </c>
      <c r="G792">
        <v>654</v>
      </c>
      <c r="H792" t="s">
        <v>23</v>
      </c>
      <c r="I792">
        <v>5</v>
      </c>
      <c r="J792">
        <v>3</v>
      </c>
      <c r="K792" t="s">
        <v>19</v>
      </c>
      <c r="L792">
        <v>1</v>
      </c>
      <c r="M792">
        <v>1099</v>
      </c>
      <c r="O792">
        <v>4</v>
      </c>
      <c r="P792">
        <v>3</v>
      </c>
      <c r="Q792" t="s">
        <v>29</v>
      </c>
      <c r="R792">
        <v>4</v>
      </c>
      <c r="S792">
        <v>7119</v>
      </c>
      <c r="T792" t="s">
        <v>21</v>
      </c>
    </row>
    <row r="793" spans="1:20" x14ac:dyDescent="0.25">
      <c r="A793">
        <v>35</v>
      </c>
      <c r="B793" t="str">
        <f t="shared" si="12"/>
        <v>35-44</v>
      </c>
      <c r="C793" t="s">
        <v>16</v>
      </c>
      <c r="F793" t="s">
        <v>17</v>
      </c>
      <c r="G793">
        <v>1204</v>
      </c>
      <c r="H793" t="s">
        <v>18</v>
      </c>
      <c r="I793">
        <v>4</v>
      </c>
      <c r="J793">
        <v>3</v>
      </c>
      <c r="K793" t="s">
        <v>35</v>
      </c>
      <c r="L793">
        <v>1</v>
      </c>
      <c r="M793">
        <v>1100</v>
      </c>
      <c r="O793">
        <v>4</v>
      </c>
      <c r="P793">
        <v>3</v>
      </c>
      <c r="Q793" t="s">
        <v>20</v>
      </c>
      <c r="R793">
        <v>1</v>
      </c>
      <c r="S793">
        <v>9582</v>
      </c>
      <c r="T793" t="s">
        <v>16</v>
      </c>
    </row>
    <row r="794" spans="1:20" x14ac:dyDescent="0.25">
      <c r="A794">
        <v>33</v>
      </c>
      <c r="B794" t="str">
        <f t="shared" si="12"/>
        <v>25-34</v>
      </c>
      <c r="C794" t="s">
        <v>16</v>
      </c>
      <c r="F794" t="s">
        <v>22</v>
      </c>
      <c r="G794">
        <v>827</v>
      </c>
      <c r="H794" t="s">
        <v>23</v>
      </c>
      <c r="I794">
        <v>29</v>
      </c>
      <c r="J794">
        <v>4</v>
      </c>
      <c r="K794" t="s">
        <v>27</v>
      </c>
      <c r="L794">
        <v>1</v>
      </c>
      <c r="M794">
        <v>1101</v>
      </c>
      <c r="O794">
        <v>1</v>
      </c>
      <c r="P794">
        <v>2</v>
      </c>
      <c r="Q794" t="s">
        <v>24</v>
      </c>
      <c r="R794">
        <v>3</v>
      </c>
      <c r="S794">
        <v>4508</v>
      </c>
      <c r="T794" t="s">
        <v>21</v>
      </c>
    </row>
    <row r="795" spans="1:20" x14ac:dyDescent="0.25">
      <c r="A795">
        <v>28</v>
      </c>
      <c r="B795" t="str">
        <f t="shared" si="12"/>
        <v>25-34</v>
      </c>
      <c r="C795" t="s">
        <v>21</v>
      </c>
      <c r="F795" t="s">
        <v>17</v>
      </c>
      <c r="G795">
        <v>895</v>
      </c>
      <c r="H795" t="s">
        <v>23</v>
      </c>
      <c r="I795">
        <v>15</v>
      </c>
      <c r="J795">
        <v>2</v>
      </c>
      <c r="K795" t="s">
        <v>19</v>
      </c>
      <c r="L795">
        <v>1</v>
      </c>
      <c r="M795">
        <v>1102</v>
      </c>
      <c r="O795">
        <v>1</v>
      </c>
      <c r="P795">
        <v>1</v>
      </c>
      <c r="Q795" t="s">
        <v>26</v>
      </c>
      <c r="R795">
        <v>3</v>
      </c>
      <c r="S795">
        <v>2207</v>
      </c>
      <c r="T795" t="s">
        <v>21</v>
      </c>
    </row>
    <row r="796" spans="1:20" x14ac:dyDescent="0.25">
      <c r="A796">
        <v>34</v>
      </c>
      <c r="B796" t="str">
        <f t="shared" si="12"/>
        <v>25-34</v>
      </c>
      <c r="C796" t="s">
        <v>21</v>
      </c>
      <c r="F796" t="s">
        <v>22</v>
      </c>
      <c r="G796">
        <v>618</v>
      </c>
      <c r="H796" t="s">
        <v>23</v>
      </c>
      <c r="I796">
        <v>3</v>
      </c>
      <c r="J796">
        <v>1</v>
      </c>
      <c r="K796" t="s">
        <v>19</v>
      </c>
      <c r="L796">
        <v>1</v>
      </c>
      <c r="M796">
        <v>1103</v>
      </c>
      <c r="O796">
        <v>1</v>
      </c>
      <c r="P796">
        <v>2</v>
      </c>
      <c r="Q796" t="s">
        <v>29</v>
      </c>
      <c r="R796">
        <v>4</v>
      </c>
      <c r="S796">
        <v>7756</v>
      </c>
      <c r="T796" t="s">
        <v>21</v>
      </c>
    </row>
    <row r="797" spans="1:20" x14ac:dyDescent="0.25">
      <c r="A797">
        <v>37</v>
      </c>
      <c r="B797" t="str">
        <f t="shared" si="12"/>
        <v>35-44</v>
      </c>
      <c r="C797" t="s">
        <v>21</v>
      </c>
      <c r="F797" t="s">
        <v>17</v>
      </c>
      <c r="G797">
        <v>309</v>
      </c>
      <c r="H797" t="s">
        <v>18</v>
      </c>
      <c r="I797">
        <v>10</v>
      </c>
      <c r="J797">
        <v>4</v>
      </c>
      <c r="K797" t="s">
        <v>19</v>
      </c>
      <c r="L797">
        <v>1</v>
      </c>
      <c r="M797">
        <v>1105</v>
      </c>
      <c r="O797">
        <v>4</v>
      </c>
      <c r="P797">
        <v>2</v>
      </c>
      <c r="Q797" t="s">
        <v>20</v>
      </c>
      <c r="R797">
        <v>4</v>
      </c>
      <c r="S797">
        <v>6694</v>
      </c>
      <c r="T797" t="s">
        <v>16</v>
      </c>
    </row>
    <row r="798" spans="1:20" x14ac:dyDescent="0.25">
      <c r="A798">
        <v>25</v>
      </c>
      <c r="B798" t="str">
        <f t="shared" si="12"/>
        <v>25-34</v>
      </c>
      <c r="C798" t="s">
        <v>16</v>
      </c>
      <c r="F798" t="s">
        <v>17</v>
      </c>
      <c r="G798">
        <v>1219</v>
      </c>
      <c r="H798" t="s">
        <v>23</v>
      </c>
      <c r="I798">
        <v>4</v>
      </c>
      <c r="J798">
        <v>1</v>
      </c>
      <c r="K798" t="s">
        <v>35</v>
      </c>
      <c r="L798">
        <v>1</v>
      </c>
      <c r="M798">
        <v>1106</v>
      </c>
      <c r="O798">
        <v>4</v>
      </c>
      <c r="P798">
        <v>1</v>
      </c>
      <c r="Q798" t="s">
        <v>26</v>
      </c>
      <c r="R798">
        <v>4</v>
      </c>
      <c r="S798">
        <v>3691</v>
      </c>
      <c r="T798" t="s">
        <v>16</v>
      </c>
    </row>
    <row r="799" spans="1:20" x14ac:dyDescent="0.25">
      <c r="A799">
        <v>26</v>
      </c>
      <c r="B799" t="str">
        <f t="shared" si="12"/>
        <v>25-34</v>
      </c>
      <c r="C799" t="s">
        <v>16</v>
      </c>
      <c r="F799" t="s">
        <v>17</v>
      </c>
      <c r="G799">
        <v>1330</v>
      </c>
      <c r="H799" t="s">
        <v>23</v>
      </c>
      <c r="I799">
        <v>21</v>
      </c>
      <c r="J799">
        <v>3</v>
      </c>
      <c r="K799" t="s">
        <v>27</v>
      </c>
      <c r="L799">
        <v>1</v>
      </c>
      <c r="M799">
        <v>1107</v>
      </c>
      <c r="O799">
        <v>1</v>
      </c>
      <c r="P799">
        <v>1</v>
      </c>
      <c r="Q799" t="s">
        <v>26</v>
      </c>
      <c r="R799">
        <v>3</v>
      </c>
      <c r="S799">
        <v>2377</v>
      </c>
      <c r="T799" t="s">
        <v>21</v>
      </c>
    </row>
    <row r="800" spans="1:20" x14ac:dyDescent="0.25">
      <c r="A800">
        <v>33</v>
      </c>
      <c r="B800" t="str">
        <f t="shared" si="12"/>
        <v>25-34</v>
      </c>
      <c r="C800" t="s">
        <v>16</v>
      </c>
      <c r="F800" t="s">
        <v>17</v>
      </c>
      <c r="G800">
        <v>1017</v>
      </c>
      <c r="H800" t="s">
        <v>23</v>
      </c>
      <c r="I800">
        <v>25</v>
      </c>
      <c r="J800">
        <v>3</v>
      </c>
      <c r="K800" t="s">
        <v>27</v>
      </c>
      <c r="L800">
        <v>1</v>
      </c>
      <c r="M800">
        <v>1108</v>
      </c>
      <c r="O800">
        <v>1</v>
      </c>
      <c r="P800">
        <v>1</v>
      </c>
      <c r="Q800" t="s">
        <v>24</v>
      </c>
      <c r="R800">
        <v>2</v>
      </c>
      <c r="S800">
        <v>2313</v>
      </c>
      <c r="T800" t="s">
        <v>16</v>
      </c>
    </row>
    <row r="801" spans="1:20" x14ac:dyDescent="0.25">
      <c r="A801">
        <v>42</v>
      </c>
      <c r="B801" t="str">
        <f t="shared" si="12"/>
        <v>35-44</v>
      </c>
      <c r="C801" t="s">
        <v>21</v>
      </c>
      <c r="F801" t="s">
        <v>17</v>
      </c>
      <c r="G801">
        <v>469</v>
      </c>
      <c r="H801" t="s">
        <v>23</v>
      </c>
      <c r="I801">
        <v>2</v>
      </c>
      <c r="J801">
        <v>2</v>
      </c>
      <c r="K801" t="s">
        <v>27</v>
      </c>
      <c r="L801">
        <v>1</v>
      </c>
      <c r="M801">
        <v>1109</v>
      </c>
      <c r="O801">
        <v>4</v>
      </c>
      <c r="P801">
        <v>4</v>
      </c>
      <c r="Q801" t="s">
        <v>31</v>
      </c>
      <c r="R801">
        <v>1</v>
      </c>
      <c r="S801">
        <v>17665</v>
      </c>
      <c r="T801" t="s">
        <v>21</v>
      </c>
    </row>
    <row r="802" spans="1:20" x14ac:dyDescent="0.25">
      <c r="A802">
        <v>28</v>
      </c>
      <c r="B802" t="str">
        <f t="shared" si="12"/>
        <v>25-34</v>
      </c>
      <c r="C802" t="s">
        <v>16</v>
      </c>
      <c r="F802" t="s">
        <v>22</v>
      </c>
      <c r="G802">
        <v>1009</v>
      </c>
      <c r="H802" t="s">
        <v>23</v>
      </c>
      <c r="I802">
        <v>1</v>
      </c>
      <c r="J802">
        <v>3</v>
      </c>
      <c r="K802" t="s">
        <v>27</v>
      </c>
      <c r="L802">
        <v>1</v>
      </c>
      <c r="M802">
        <v>1111</v>
      </c>
      <c r="O802">
        <v>1</v>
      </c>
      <c r="P802">
        <v>1</v>
      </c>
      <c r="Q802" t="s">
        <v>26</v>
      </c>
      <c r="R802">
        <v>2</v>
      </c>
      <c r="S802">
        <v>2596</v>
      </c>
      <c r="T802" t="s">
        <v>21</v>
      </c>
    </row>
    <row r="803" spans="1:20" x14ac:dyDescent="0.25">
      <c r="A803">
        <v>50</v>
      </c>
      <c r="B803" t="str">
        <f t="shared" si="12"/>
        <v>45-54</v>
      </c>
      <c r="C803" t="s">
        <v>16</v>
      </c>
      <c r="F803" t="s">
        <v>22</v>
      </c>
      <c r="G803">
        <v>959</v>
      </c>
      <c r="H803" t="s">
        <v>18</v>
      </c>
      <c r="I803">
        <v>1</v>
      </c>
      <c r="J803">
        <v>4</v>
      </c>
      <c r="K803" t="s">
        <v>25</v>
      </c>
      <c r="L803">
        <v>1</v>
      </c>
      <c r="M803">
        <v>1113</v>
      </c>
      <c r="O803">
        <v>4</v>
      </c>
      <c r="P803">
        <v>2</v>
      </c>
      <c r="Q803" t="s">
        <v>20</v>
      </c>
      <c r="R803">
        <v>3</v>
      </c>
      <c r="S803">
        <v>4728</v>
      </c>
      <c r="T803" t="s">
        <v>16</v>
      </c>
    </row>
    <row r="804" spans="1:20" x14ac:dyDescent="0.25">
      <c r="A804">
        <v>33</v>
      </c>
      <c r="B804" t="str">
        <f t="shared" si="12"/>
        <v>25-34</v>
      </c>
      <c r="C804" t="s">
        <v>21</v>
      </c>
      <c r="F804" t="s">
        <v>22</v>
      </c>
      <c r="G804">
        <v>970</v>
      </c>
      <c r="H804" t="s">
        <v>18</v>
      </c>
      <c r="I804">
        <v>7</v>
      </c>
      <c r="J804">
        <v>3</v>
      </c>
      <c r="K804" t="s">
        <v>19</v>
      </c>
      <c r="L804">
        <v>1</v>
      </c>
      <c r="M804">
        <v>1114</v>
      </c>
      <c r="O804">
        <v>4</v>
      </c>
      <c r="P804">
        <v>2</v>
      </c>
      <c r="Q804" t="s">
        <v>20</v>
      </c>
      <c r="R804">
        <v>2</v>
      </c>
      <c r="S804">
        <v>4302</v>
      </c>
      <c r="T804" t="s">
        <v>21</v>
      </c>
    </row>
    <row r="805" spans="1:20" x14ac:dyDescent="0.25">
      <c r="A805">
        <v>34</v>
      </c>
      <c r="B805" t="str">
        <f t="shared" si="12"/>
        <v>25-34</v>
      </c>
      <c r="C805" t="s">
        <v>21</v>
      </c>
      <c r="F805" t="s">
        <v>30</v>
      </c>
      <c r="G805">
        <v>697</v>
      </c>
      <c r="H805" t="s">
        <v>23</v>
      </c>
      <c r="I805">
        <v>3</v>
      </c>
      <c r="J805">
        <v>4</v>
      </c>
      <c r="K805" t="s">
        <v>19</v>
      </c>
      <c r="L805">
        <v>1</v>
      </c>
      <c r="M805">
        <v>1115</v>
      </c>
      <c r="O805">
        <v>3</v>
      </c>
      <c r="P805">
        <v>1</v>
      </c>
      <c r="Q805" t="s">
        <v>24</v>
      </c>
      <c r="R805">
        <v>4</v>
      </c>
      <c r="S805">
        <v>2979</v>
      </c>
      <c r="T805" t="s">
        <v>21</v>
      </c>
    </row>
    <row r="806" spans="1:20" x14ac:dyDescent="0.25">
      <c r="A806">
        <v>48</v>
      </c>
      <c r="B806" t="str">
        <f t="shared" si="12"/>
        <v>45-54</v>
      </c>
      <c r="C806" t="s">
        <v>21</v>
      </c>
      <c r="F806" t="s">
        <v>30</v>
      </c>
      <c r="G806">
        <v>1262</v>
      </c>
      <c r="H806" t="s">
        <v>23</v>
      </c>
      <c r="I806">
        <v>1</v>
      </c>
      <c r="J806">
        <v>4</v>
      </c>
      <c r="K806" t="s">
        <v>27</v>
      </c>
      <c r="L806">
        <v>1</v>
      </c>
      <c r="M806">
        <v>1116</v>
      </c>
      <c r="O806">
        <v>1</v>
      </c>
      <c r="P806">
        <v>4</v>
      </c>
      <c r="Q806" t="s">
        <v>31</v>
      </c>
      <c r="R806">
        <v>4</v>
      </c>
      <c r="S806">
        <v>16885</v>
      </c>
      <c r="T806" t="s">
        <v>21</v>
      </c>
    </row>
    <row r="807" spans="1:20" x14ac:dyDescent="0.25">
      <c r="A807">
        <v>45</v>
      </c>
      <c r="B807" t="str">
        <f t="shared" si="12"/>
        <v>45-54</v>
      </c>
      <c r="C807" t="s">
        <v>21</v>
      </c>
      <c r="F807" t="s">
        <v>30</v>
      </c>
      <c r="G807">
        <v>1050</v>
      </c>
      <c r="H807" t="s">
        <v>18</v>
      </c>
      <c r="I807">
        <v>9</v>
      </c>
      <c r="J807">
        <v>4</v>
      </c>
      <c r="K807" t="s">
        <v>19</v>
      </c>
      <c r="L807">
        <v>1</v>
      </c>
      <c r="M807">
        <v>1117</v>
      </c>
      <c r="O807">
        <v>2</v>
      </c>
      <c r="P807">
        <v>2</v>
      </c>
      <c r="Q807" t="s">
        <v>20</v>
      </c>
      <c r="R807">
        <v>3</v>
      </c>
      <c r="S807">
        <v>5593</v>
      </c>
      <c r="T807" t="s">
        <v>21</v>
      </c>
    </row>
    <row r="808" spans="1:20" x14ac:dyDescent="0.25">
      <c r="A808">
        <v>52</v>
      </c>
      <c r="B808" t="str">
        <f t="shared" si="12"/>
        <v>45-54</v>
      </c>
      <c r="C808" t="s">
        <v>21</v>
      </c>
      <c r="F808" t="s">
        <v>17</v>
      </c>
      <c r="G808">
        <v>994</v>
      </c>
      <c r="H808" t="s">
        <v>23</v>
      </c>
      <c r="I808">
        <v>7</v>
      </c>
      <c r="J808">
        <v>4</v>
      </c>
      <c r="K808" t="s">
        <v>19</v>
      </c>
      <c r="L808">
        <v>1</v>
      </c>
      <c r="M808">
        <v>1118</v>
      </c>
      <c r="O808">
        <v>2</v>
      </c>
      <c r="P808">
        <v>3</v>
      </c>
      <c r="Q808" t="s">
        <v>29</v>
      </c>
      <c r="R808">
        <v>2</v>
      </c>
      <c r="S808">
        <v>10445</v>
      </c>
      <c r="T808" t="s">
        <v>21</v>
      </c>
    </row>
    <row r="809" spans="1:20" x14ac:dyDescent="0.25">
      <c r="A809">
        <v>38</v>
      </c>
      <c r="B809" t="str">
        <f t="shared" si="12"/>
        <v>35-44</v>
      </c>
      <c r="C809" t="s">
        <v>21</v>
      </c>
      <c r="F809" t="s">
        <v>17</v>
      </c>
      <c r="G809">
        <v>770</v>
      </c>
      <c r="H809" t="s">
        <v>18</v>
      </c>
      <c r="I809">
        <v>10</v>
      </c>
      <c r="J809">
        <v>4</v>
      </c>
      <c r="K809" t="s">
        <v>34</v>
      </c>
      <c r="L809">
        <v>1</v>
      </c>
      <c r="M809">
        <v>1119</v>
      </c>
      <c r="O809">
        <v>3</v>
      </c>
      <c r="P809">
        <v>3</v>
      </c>
      <c r="Q809" t="s">
        <v>20</v>
      </c>
      <c r="R809">
        <v>3</v>
      </c>
      <c r="S809">
        <v>8740</v>
      </c>
      <c r="T809" t="s">
        <v>16</v>
      </c>
    </row>
    <row r="810" spans="1:20" x14ac:dyDescent="0.25">
      <c r="A810">
        <v>29</v>
      </c>
      <c r="B810" t="str">
        <f t="shared" si="12"/>
        <v>25-34</v>
      </c>
      <c r="C810" t="s">
        <v>21</v>
      </c>
      <c r="F810" t="s">
        <v>17</v>
      </c>
      <c r="G810">
        <v>1107</v>
      </c>
      <c r="H810" t="s">
        <v>23</v>
      </c>
      <c r="I810">
        <v>28</v>
      </c>
      <c r="J810">
        <v>4</v>
      </c>
      <c r="K810" t="s">
        <v>19</v>
      </c>
      <c r="L810">
        <v>1</v>
      </c>
      <c r="M810">
        <v>1120</v>
      </c>
      <c r="O810">
        <v>3</v>
      </c>
      <c r="P810">
        <v>1</v>
      </c>
      <c r="Q810" t="s">
        <v>24</v>
      </c>
      <c r="R810">
        <v>4</v>
      </c>
      <c r="S810">
        <v>2514</v>
      </c>
      <c r="T810" t="s">
        <v>21</v>
      </c>
    </row>
    <row r="811" spans="1:20" x14ac:dyDescent="0.25">
      <c r="A811">
        <v>28</v>
      </c>
      <c r="B811" t="str">
        <f t="shared" si="12"/>
        <v>25-34</v>
      </c>
      <c r="C811" t="s">
        <v>21</v>
      </c>
      <c r="F811" t="s">
        <v>17</v>
      </c>
      <c r="G811">
        <v>950</v>
      </c>
      <c r="H811" t="s">
        <v>23</v>
      </c>
      <c r="I811">
        <v>3</v>
      </c>
      <c r="J811">
        <v>3</v>
      </c>
      <c r="K811" t="s">
        <v>27</v>
      </c>
      <c r="L811">
        <v>1</v>
      </c>
      <c r="M811">
        <v>1121</v>
      </c>
      <c r="O811">
        <v>4</v>
      </c>
      <c r="P811">
        <v>3</v>
      </c>
      <c r="Q811" t="s">
        <v>28</v>
      </c>
      <c r="R811">
        <v>2</v>
      </c>
      <c r="S811">
        <v>7655</v>
      </c>
      <c r="T811" t="s">
        <v>21</v>
      </c>
    </row>
    <row r="812" spans="1:20" x14ac:dyDescent="0.25">
      <c r="A812">
        <v>46</v>
      </c>
      <c r="B812" t="str">
        <f t="shared" si="12"/>
        <v>45-54</v>
      </c>
      <c r="C812" t="s">
        <v>21</v>
      </c>
      <c r="F812" t="s">
        <v>17</v>
      </c>
      <c r="G812">
        <v>406</v>
      </c>
      <c r="H812" t="s">
        <v>18</v>
      </c>
      <c r="I812">
        <v>3</v>
      </c>
      <c r="J812">
        <v>1</v>
      </c>
      <c r="K812" t="s">
        <v>34</v>
      </c>
      <c r="L812">
        <v>1</v>
      </c>
      <c r="M812">
        <v>1124</v>
      </c>
      <c r="O812">
        <v>1</v>
      </c>
      <c r="P812">
        <v>4</v>
      </c>
      <c r="Q812" t="s">
        <v>31</v>
      </c>
      <c r="R812">
        <v>3</v>
      </c>
      <c r="S812">
        <v>17465</v>
      </c>
      <c r="T812" t="s">
        <v>21</v>
      </c>
    </row>
    <row r="813" spans="1:20" x14ac:dyDescent="0.25">
      <c r="A813">
        <v>38</v>
      </c>
      <c r="B813" t="str">
        <f t="shared" si="12"/>
        <v>35-44</v>
      </c>
      <c r="C813" t="s">
        <v>21</v>
      </c>
      <c r="F813" t="s">
        <v>17</v>
      </c>
      <c r="G813">
        <v>130</v>
      </c>
      <c r="H813" t="s">
        <v>18</v>
      </c>
      <c r="I813">
        <v>2</v>
      </c>
      <c r="J813">
        <v>2</v>
      </c>
      <c r="K813" t="s">
        <v>34</v>
      </c>
      <c r="L813">
        <v>1</v>
      </c>
      <c r="M813">
        <v>1125</v>
      </c>
      <c r="O813">
        <v>4</v>
      </c>
      <c r="P813">
        <v>3</v>
      </c>
      <c r="Q813" t="s">
        <v>20</v>
      </c>
      <c r="R813">
        <v>2</v>
      </c>
      <c r="S813">
        <v>7351</v>
      </c>
      <c r="T813" t="s">
        <v>21</v>
      </c>
    </row>
    <row r="814" spans="1:20" x14ac:dyDescent="0.25">
      <c r="A814">
        <v>43</v>
      </c>
      <c r="B814" t="str">
        <f t="shared" si="12"/>
        <v>35-44</v>
      </c>
      <c r="C814" t="s">
        <v>21</v>
      </c>
      <c r="F814" t="s">
        <v>22</v>
      </c>
      <c r="G814">
        <v>1082</v>
      </c>
      <c r="H814" t="s">
        <v>23</v>
      </c>
      <c r="I814">
        <v>27</v>
      </c>
      <c r="J814">
        <v>3</v>
      </c>
      <c r="K814" t="s">
        <v>19</v>
      </c>
      <c r="L814">
        <v>1</v>
      </c>
      <c r="M814">
        <v>1126</v>
      </c>
      <c r="O814">
        <v>3</v>
      </c>
      <c r="P814">
        <v>3</v>
      </c>
      <c r="Q814" t="s">
        <v>28</v>
      </c>
      <c r="R814">
        <v>1</v>
      </c>
      <c r="S814">
        <v>10820</v>
      </c>
      <c r="T814" t="s">
        <v>21</v>
      </c>
    </row>
    <row r="815" spans="1:20" x14ac:dyDescent="0.25">
      <c r="A815">
        <v>39</v>
      </c>
      <c r="B815" t="str">
        <f t="shared" si="12"/>
        <v>35-44</v>
      </c>
      <c r="C815" t="s">
        <v>16</v>
      </c>
      <c r="F815" t="s">
        <v>22</v>
      </c>
      <c r="G815">
        <v>203</v>
      </c>
      <c r="H815" t="s">
        <v>23</v>
      </c>
      <c r="I815">
        <v>2</v>
      </c>
      <c r="J815">
        <v>3</v>
      </c>
      <c r="K815" t="s">
        <v>19</v>
      </c>
      <c r="L815">
        <v>1</v>
      </c>
      <c r="M815">
        <v>1127</v>
      </c>
      <c r="O815">
        <v>1</v>
      </c>
      <c r="P815">
        <v>4</v>
      </c>
      <c r="Q815" t="s">
        <v>29</v>
      </c>
      <c r="R815">
        <v>4</v>
      </c>
      <c r="S815">
        <v>12169</v>
      </c>
      <c r="T815" t="s">
        <v>21</v>
      </c>
    </row>
    <row r="816" spans="1:20" x14ac:dyDescent="0.25">
      <c r="A816">
        <v>40</v>
      </c>
      <c r="B816" t="str">
        <f t="shared" si="12"/>
        <v>35-44</v>
      </c>
      <c r="C816" t="s">
        <v>21</v>
      </c>
      <c r="F816" t="s">
        <v>17</v>
      </c>
      <c r="G816">
        <v>1308</v>
      </c>
      <c r="H816" t="s">
        <v>23</v>
      </c>
      <c r="I816">
        <v>14</v>
      </c>
      <c r="J816">
        <v>3</v>
      </c>
      <c r="K816" t="s">
        <v>27</v>
      </c>
      <c r="L816">
        <v>1</v>
      </c>
      <c r="M816">
        <v>1128</v>
      </c>
      <c r="O816">
        <v>3</v>
      </c>
      <c r="P816">
        <v>5</v>
      </c>
      <c r="Q816" t="s">
        <v>33</v>
      </c>
      <c r="R816">
        <v>3</v>
      </c>
      <c r="S816">
        <v>19626</v>
      </c>
      <c r="T816" t="s">
        <v>21</v>
      </c>
    </row>
    <row r="817" spans="1:20" x14ac:dyDescent="0.25">
      <c r="A817">
        <v>21</v>
      </c>
      <c r="B817" t="str">
        <f t="shared" si="12"/>
        <v>18-24</v>
      </c>
      <c r="C817" t="s">
        <v>21</v>
      </c>
      <c r="F817" t="s">
        <v>17</v>
      </c>
      <c r="G817">
        <v>984</v>
      </c>
      <c r="H817" t="s">
        <v>23</v>
      </c>
      <c r="I817">
        <v>1</v>
      </c>
      <c r="J817">
        <v>1</v>
      </c>
      <c r="K817" t="s">
        <v>35</v>
      </c>
      <c r="L817">
        <v>1</v>
      </c>
      <c r="M817">
        <v>1131</v>
      </c>
      <c r="O817">
        <v>4</v>
      </c>
      <c r="P817">
        <v>1</v>
      </c>
      <c r="Q817" t="s">
        <v>24</v>
      </c>
      <c r="R817">
        <v>2</v>
      </c>
      <c r="S817">
        <v>2070</v>
      </c>
      <c r="T817" t="s">
        <v>16</v>
      </c>
    </row>
    <row r="818" spans="1:20" x14ac:dyDescent="0.25">
      <c r="A818">
        <v>39</v>
      </c>
      <c r="B818" t="str">
        <f t="shared" si="12"/>
        <v>35-44</v>
      </c>
      <c r="C818" t="s">
        <v>21</v>
      </c>
      <c r="F818" t="s">
        <v>30</v>
      </c>
      <c r="G818">
        <v>439</v>
      </c>
      <c r="H818" t="s">
        <v>23</v>
      </c>
      <c r="I818">
        <v>9</v>
      </c>
      <c r="J818">
        <v>3</v>
      </c>
      <c r="K818" t="s">
        <v>19</v>
      </c>
      <c r="L818">
        <v>1</v>
      </c>
      <c r="M818">
        <v>1132</v>
      </c>
      <c r="O818">
        <v>3</v>
      </c>
      <c r="P818">
        <v>2</v>
      </c>
      <c r="Q818" t="s">
        <v>26</v>
      </c>
      <c r="R818">
        <v>2</v>
      </c>
      <c r="S818">
        <v>6782</v>
      </c>
      <c r="T818" t="s">
        <v>21</v>
      </c>
    </row>
    <row r="819" spans="1:20" x14ac:dyDescent="0.25">
      <c r="A819">
        <v>36</v>
      </c>
      <c r="B819" t="str">
        <f t="shared" si="12"/>
        <v>35-44</v>
      </c>
      <c r="C819" t="s">
        <v>21</v>
      </c>
      <c r="F819" t="s">
        <v>30</v>
      </c>
      <c r="G819">
        <v>217</v>
      </c>
      <c r="H819" t="s">
        <v>23</v>
      </c>
      <c r="I819">
        <v>18</v>
      </c>
      <c r="J819">
        <v>4</v>
      </c>
      <c r="K819" t="s">
        <v>19</v>
      </c>
      <c r="L819">
        <v>1</v>
      </c>
      <c r="M819">
        <v>1133</v>
      </c>
      <c r="O819">
        <v>1</v>
      </c>
      <c r="P819">
        <v>2</v>
      </c>
      <c r="Q819" t="s">
        <v>28</v>
      </c>
      <c r="R819">
        <v>4</v>
      </c>
      <c r="S819">
        <v>7779</v>
      </c>
      <c r="T819" t="s">
        <v>21</v>
      </c>
    </row>
    <row r="820" spans="1:20" x14ac:dyDescent="0.25">
      <c r="A820">
        <v>31</v>
      </c>
      <c r="B820" t="str">
        <f t="shared" si="12"/>
        <v>25-34</v>
      </c>
      <c r="C820" t="s">
        <v>21</v>
      </c>
      <c r="F820" t="s">
        <v>22</v>
      </c>
      <c r="G820">
        <v>793</v>
      </c>
      <c r="H820" t="s">
        <v>18</v>
      </c>
      <c r="I820">
        <v>20</v>
      </c>
      <c r="J820">
        <v>3</v>
      </c>
      <c r="K820" t="s">
        <v>19</v>
      </c>
      <c r="L820">
        <v>1</v>
      </c>
      <c r="M820">
        <v>1135</v>
      </c>
      <c r="O820">
        <v>3</v>
      </c>
      <c r="P820">
        <v>1</v>
      </c>
      <c r="Q820" t="s">
        <v>32</v>
      </c>
      <c r="R820">
        <v>4</v>
      </c>
      <c r="S820">
        <v>2791</v>
      </c>
      <c r="T820" t="s">
        <v>21</v>
      </c>
    </row>
    <row r="821" spans="1:20" x14ac:dyDescent="0.25">
      <c r="A821">
        <v>28</v>
      </c>
      <c r="B821" t="str">
        <f t="shared" si="12"/>
        <v>25-34</v>
      </c>
      <c r="C821" t="s">
        <v>21</v>
      </c>
      <c r="F821" t="s">
        <v>17</v>
      </c>
      <c r="G821">
        <v>1451</v>
      </c>
      <c r="H821" t="s">
        <v>23</v>
      </c>
      <c r="I821">
        <v>2</v>
      </c>
      <c r="J821">
        <v>1</v>
      </c>
      <c r="K821" t="s">
        <v>19</v>
      </c>
      <c r="L821">
        <v>1</v>
      </c>
      <c r="M821">
        <v>1136</v>
      </c>
      <c r="O821">
        <v>1</v>
      </c>
      <c r="P821">
        <v>1</v>
      </c>
      <c r="Q821" t="s">
        <v>24</v>
      </c>
      <c r="R821">
        <v>2</v>
      </c>
      <c r="S821">
        <v>3201</v>
      </c>
      <c r="T821" t="s">
        <v>21</v>
      </c>
    </row>
    <row r="822" spans="1:20" x14ac:dyDescent="0.25">
      <c r="A822">
        <v>35</v>
      </c>
      <c r="B822" t="str">
        <f t="shared" si="12"/>
        <v>35-44</v>
      </c>
      <c r="C822" t="s">
        <v>21</v>
      </c>
      <c r="F822" t="s">
        <v>22</v>
      </c>
      <c r="G822">
        <v>1182</v>
      </c>
      <c r="H822" t="s">
        <v>18</v>
      </c>
      <c r="I822">
        <v>11</v>
      </c>
      <c r="J822">
        <v>2</v>
      </c>
      <c r="K822" t="s">
        <v>34</v>
      </c>
      <c r="L822">
        <v>1</v>
      </c>
      <c r="M822">
        <v>1137</v>
      </c>
      <c r="O822">
        <v>4</v>
      </c>
      <c r="P822">
        <v>2</v>
      </c>
      <c r="Q822" t="s">
        <v>20</v>
      </c>
      <c r="R822">
        <v>4</v>
      </c>
      <c r="S822">
        <v>4968</v>
      </c>
      <c r="T822" t="s">
        <v>21</v>
      </c>
    </row>
    <row r="823" spans="1:20" x14ac:dyDescent="0.25">
      <c r="A823">
        <v>49</v>
      </c>
      <c r="B823" t="str">
        <f t="shared" si="12"/>
        <v>45-54</v>
      </c>
      <c r="C823" t="s">
        <v>21</v>
      </c>
      <c r="F823" t="s">
        <v>17</v>
      </c>
      <c r="G823">
        <v>174</v>
      </c>
      <c r="H823" t="s">
        <v>18</v>
      </c>
      <c r="I823">
        <v>8</v>
      </c>
      <c r="J823">
        <v>4</v>
      </c>
      <c r="K823" t="s">
        <v>35</v>
      </c>
      <c r="L823">
        <v>1</v>
      </c>
      <c r="M823">
        <v>1138</v>
      </c>
      <c r="O823">
        <v>4</v>
      </c>
      <c r="P823">
        <v>4</v>
      </c>
      <c r="Q823" t="s">
        <v>20</v>
      </c>
      <c r="R823">
        <v>2</v>
      </c>
      <c r="S823">
        <v>13120</v>
      </c>
      <c r="T823" t="s">
        <v>21</v>
      </c>
    </row>
    <row r="824" spans="1:20" x14ac:dyDescent="0.25">
      <c r="A824">
        <v>34</v>
      </c>
      <c r="B824" t="str">
        <f t="shared" si="12"/>
        <v>25-34</v>
      </c>
      <c r="C824" t="s">
        <v>21</v>
      </c>
      <c r="F824" t="s">
        <v>22</v>
      </c>
      <c r="G824">
        <v>1003</v>
      </c>
      <c r="H824" t="s">
        <v>23</v>
      </c>
      <c r="I824">
        <v>2</v>
      </c>
      <c r="J824">
        <v>2</v>
      </c>
      <c r="K824" t="s">
        <v>19</v>
      </c>
      <c r="L824">
        <v>1</v>
      </c>
      <c r="M824">
        <v>1140</v>
      </c>
      <c r="O824">
        <v>4</v>
      </c>
      <c r="P824">
        <v>2</v>
      </c>
      <c r="Q824" t="s">
        <v>28</v>
      </c>
      <c r="R824">
        <v>3</v>
      </c>
      <c r="S824">
        <v>4033</v>
      </c>
      <c r="T824" t="s">
        <v>21</v>
      </c>
    </row>
    <row r="825" spans="1:20" x14ac:dyDescent="0.25">
      <c r="A825">
        <v>29</v>
      </c>
      <c r="B825" t="str">
        <f t="shared" si="12"/>
        <v>25-34</v>
      </c>
      <c r="C825" t="s">
        <v>21</v>
      </c>
      <c r="F825" t="s">
        <v>22</v>
      </c>
      <c r="G825">
        <v>490</v>
      </c>
      <c r="H825" t="s">
        <v>23</v>
      </c>
      <c r="I825">
        <v>10</v>
      </c>
      <c r="J825">
        <v>3</v>
      </c>
      <c r="K825" t="s">
        <v>19</v>
      </c>
      <c r="L825">
        <v>1</v>
      </c>
      <c r="M825">
        <v>1143</v>
      </c>
      <c r="O825">
        <v>4</v>
      </c>
      <c r="P825">
        <v>1</v>
      </c>
      <c r="Q825" t="s">
        <v>24</v>
      </c>
      <c r="R825">
        <v>2</v>
      </c>
      <c r="S825">
        <v>3291</v>
      </c>
      <c r="T825" t="s">
        <v>21</v>
      </c>
    </row>
    <row r="826" spans="1:20" x14ac:dyDescent="0.25">
      <c r="A826">
        <v>42</v>
      </c>
      <c r="B826" t="str">
        <f t="shared" si="12"/>
        <v>35-44</v>
      </c>
      <c r="C826" t="s">
        <v>21</v>
      </c>
      <c r="F826" t="s">
        <v>17</v>
      </c>
      <c r="G826">
        <v>188</v>
      </c>
      <c r="H826" t="s">
        <v>23</v>
      </c>
      <c r="I826">
        <v>29</v>
      </c>
      <c r="J826">
        <v>3</v>
      </c>
      <c r="K826" t="s">
        <v>27</v>
      </c>
      <c r="L826">
        <v>1</v>
      </c>
      <c r="M826">
        <v>1148</v>
      </c>
      <c r="O826">
        <v>2</v>
      </c>
      <c r="P826">
        <v>2</v>
      </c>
      <c r="Q826" t="s">
        <v>26</v>
      </c>
      <c r="R826">
        <v>4</v>
      </c>
      <c r="S826">
        <v>4272</v>
      </c>
      <c r="T826" t="s">
        <v>21</v>
      </c>
    </row>
    <row r="827" spans="1:20" x14ac:dyDescent="0.25">
      <c r="A827">
        <v>29</v>
      </c>
      <c r="B827" t="str">
        <f t="shared" si="12"/>
        <v>25-34</v>
      </c>
      <c r="C827" t="s">
        <v>21</v>
      </c>
      <c r="F827" t="s">
        <v>17</v>
      </c>
      <c r="G827">
        <v>718</v>
      </c>
      <c r="H827" t="s">
        <v>23</v>
      </c>
      <c r="I827">
        <v>8</v>
      </c>
      <c r="J827">
        <v>1</v>
      </c>
      <c r="K827" t="s">
        <v>27</v>
      </c>
      <c r="L827">
        <v>1</v>
      </c>
      <c r="M827">
        <v>1150</v>
      </c>
      <c r="O827">
        <v>2</v>
      </c>
      <c r="P827">
        <v>2</v>
      </c>
      <c r="Q827" t="s">
        <v>28</v>
      </c>
      <c r="R827">
        <v>4</v>
      </c>
      <c r="S827">
        <v>5056</v>
      </c>
      <c r="T827" t="s">
        <v>16</v>
      </c>
    </row>
    <row r="828" spans="1:20" x14ac:dyDescent="0.25">
      <c r="A828">
        <v>38</v>
      </c>
      <c r="B828" t="str">
        <f t="shared" si="12"/>
        <v>35-44</v>
      </c>
      <c r="C828" t="s">
        <v>21</v>
      </c>
      <c r="F828" t="s">
        <v>17</v>
      </c>
      <c r="G828">
        <v>433</v>
      </c>
      <c r="H828" t="s">
        <v>36</v>
      </c>
      <c r="I828">
        <v>1</v>
      </c>
      <c r="J828">
        <v>3</v>
      </c>
      <c r="K828" t="s">
        <v>36</v>
      </c>
      <c r="L828">
        <v>1</v>
      </c>
      <c r="M828">
        <v>1152</v>
      </c>
      <c r="O828">
        <v>3</v>
      </c>
      <c r="P828">
        <v>1</v>
      </c>
      <c r="Q828" t="s">
        <v>36</v>
      </c>
      <c r="R828">
        <v>3</v>
      </c>
      <c r="S828">
        <v>2844</v>
      </c>
      <c r="T828" t="s">
        <v>21</v>
      </c>
    </row>
    <row r="829" spans="1:20" x14ac:dyDescent="0.25">
      <c r="A829">
        <v>28</v>
      </c>
      <c r="B829" t="str">
        <f t="shared" si="12"/>
        <v>25-34</v>
      </c>
      <c r="C829" t="s">
        <v>21</v>
      </c>
      <c r="F829" t="s">
        <v>22</v>
      </c>
      <c r="G829">
        <v>773</v>
      </c>
      <c r="H829" t="s">
        <v>23</v>
      </c>
      <c r="I829">
        <v>6</v>
      </c>
      <c r="J829">
        <v>3</v>
      </c>
      <c r="K829" t="s">
        <v>19</v>
      </c>
      <c r="L829">
        <v>1</v>
      </c>
      <c r="M829">
        <v>1154</v>
      </c>
      <c r="O829">
        <v>3</v>
      </c>
      <c r="P829">
        <v>1</v>
      </c>
      <c r="Q829" t="s">
        <v>24</v>
      </c>
      <c r="R829">
        <v>3</v>
      </c>
      <c r="S829">
        <v>2703</v>
      </c>
      <c r="T829" t="s">
        <v>16</v>
      </c>
    </row>
    <row r="830" spans="1:20" x14ac:dyDescent="0.25">
      <c r="A830">
        <v>18</v>
      </c>
      <c r="B830" t="str">
        <f t="shared" si="12"/>
        <v>18-24</v>
      </c>
      <c r="C830" t="s">
        <v>16</v>
      </c>
      <c r="F830" t="s">
        <v>30</v>
      </c>
      <c r="G830">
        <v>247</v>
      </c>
      <c r="H830" t="s">
        <v>23</v>
      </c>
      <c r="I830">
        <v>8</v>
      </c>
      <c r="J830">
        <v>1</v>
      </c>
      <c r="K830" t="s">
        <v>27</v>
      </c>
      <c r="L830">
        <v>1</v>
      </c>
      <c r="M830">
        <v>1156</v>
      </c>
      <c r="O830">
        <v>3</v>
      </c>
      <c r="P830">
        <v>1</v>
      </c>
      <c r="Q830" t="s">
        <v>26</v>
      </c>
      <c r="R830">
        <v>3</v>
      </c>
      <c r="S830">
        <v>1904</v>
      </c>
      <c r="T830" t="s">
        <v>21</v>
      </c>
    </row>
    <row r="831" spans="1:20" x14ac:dyDescent="0.25">
      <c r="A831">
        <v>33</v>
      </c>
      <c r="B831" t="str">
        <f t="shared" si="12"/>
        <v>25-34</v>
      </c>
      <c r="C831" t="s">
        <v>16</v>
      </c>
      <c r="F831" t="s">
        <v>17</v>
      </c>
      <c r="G831">
        <v>603</v>
      </c>
      <c r="H831" t="s">
        <v>18</v>
      </c>
      <c r="I831">
        <v>9</v>
      </c>
      <c r="J831">
        <v>4</v>
      </c>
      <c r="K831" t="s">
        <v>34</v>
      </c>
      <c r="L831">
        <v>1</v>
      </c>
      <c r="M831">
        <v>1157</v>
      </c>
      <c r="O831">
        <v>1</v>
      </c>
      <c r="P831">
        <v>2</v>
      </c>
      <c r="Q831" t="s">
        <v>20</v>
      </c>
      <c r="R831">
        <v>1</v>
      </c>
      <c r="S831">
        <v>8224</v>
      </c>
      <c r="T831" t="s">
        <v>16</v>
      </c>
    </row>
    <row r="832" spans="1:20" x14ac:dyDescent="0.25">
      <c r="A832">
        <v>41</v>
      </c>
      <c r="B832" t="str">
        <f t="shared" si="12"/>
        <v>35-44</v>
      </c>
      <c r="C832" t="s">
        <v>21</v>
      </c>
      <c r="F832" t="s">
        <v>17</v>
      </c>
      <c r="G832">
        <v>167</v>
      </c>
      <c r="H832" t="s">
        <v>23</v>
      </c>
      <c r="I832">
        <v>12</v>
      </c>
      <c r="J832">
        <v>4</v>
      </c>
      <c r="K832" t="s">
        <v>19</v>
      </c>
      <c r="L832">
        <v>1</v>
      </c>
      <c r="M832">
        <v>1158</v>
      </c>
      <c r="O832">
        <v>2</v>
      </c>
      <c r="P832">
        <v>1</v>
      </c>
      <c r="Q832" t="s">
        <v>26</v>
      </c>
      <c r="R832">
        <v>4</v>
      </c>
      <c r="S832">
        <v>4766</v>
      </c>
      <c r="T832" t="s">
        <v>16</v>
      </c>
    </row>
    <row r="833" spans="1:20" x14ac:dyDescent="0.25">
      <c r="A833">
        <v>31</v>
      </c>
      <c r="B833" t="str">
        <f t="shared" si="12"/>
        <v>25-34</v>
      </c>
      <c r="C833" t="s">
        <v>16</v>
      </c>
      <c r="F833" t="s">
        <v>22</v>
      </c>
      <c r="G833">
        <v>874</v>
      </c>
      <c r="H833" t="s">
        <v>23</v>
      </c>
      <c r="I833">
        <v>15</v>
      </c>
      <c r="J833">
        <v>3</v>
      </c>
      <c r="K833" t="s">
        <v>27</v>
      </c>
      <c r="L833">
        <v>1</v>
      </c>
      <c r="M833">
        <v>1160</v>
      </c>
      <c r="O833">
        <v>3</v>
      </c>
      <c r="P833">
        <v>1</v>
      </c>
      <c r="Q833" t="s">
        <v>26</v>
      </c>
      <c r="R833">
        <v>3</v>
      </c>
      <c r="S833">
        <v>2610</v>
      </c>
      <c r="T833" t="s">
        <v>21</v>
      </c>
    </row>
    <row r="834" spans="1:20" x14ac:dyDescent="0.25">
      <c r="A834">
        <v>37</v>
      </c>
      <c r="B834" t="str">
        <f t="shared" si="12"/>
        <v>35-44</v>
      </c>
      <c r="C834" t="s">
        <v>21</v>
      </c>
      <c r="F834" t="s">
        <v>17</v>
      </c>
      <c r="G834">
        <v>367</v>
      </c>
      <c r="H834" t="s">
        <v>23</v>
      </c>
      <c r="I834">
        <v>25</v>
      </c>
      <c r="J834">
        <v>2</v>
      </c>
      <c r="K834" t="s">
        <v>27</v>
      </c>
      <c r="L834">
        <v>1</v>
      </c>
      <c r="M834">
        <v>1161</v>
      </c>
      <c r="O834">
        <v>3</v>
      </c>
      <c r="P834">
        <v>2</v>
      </c>
      <c r="Q834" t="s">
        <v>29</v>
      </c>
      <c r="R834">
        <v>4</v>
      </c>
      <c r="S834">
        <v>5731</v>
      </c>
      <c r="T834" t="s">
        <v>21</v>
      </c>
    </row>
    <row r="835" spans="1:20" x14ac:dyDescent="0.25">
      <c r="A835">
        <v>27</v>
      </c>
      <c r="B835" t="str">
        <f t="shared" ref="B835:B898" si="13">IF(A835&lt;=24,"18-24",IF(A835&lt;=34,"25-34",IF(A835&lt;=44,"35-44",IF(A835&lt;=54,"45-54","55+"))))</f>
        <v>25-34</v>
      </c>
      <c r="C835" t="s">
        <v>21</v>
      </c>
      <c r="F835" t="s">
        <v>17</v>
      </c>
      <c r="G835">
        <v>199</v>
      </c>
      <c r="H835" t="s">
        <v>23</v>
      </c>
      <c r="I835">
        <v>6</v>
      </c>
      <c r="J835">
        <v>3</v>
      </c>
      <c r="K835" t="s">
        <v>19</v>
      </c>
      <c r="L835">
        <v>1</v>
      </c>
      <c r="M835">
        <v>1162</v>
      </c>
      <c r="O835">
        <v>4</v>
      </c>
      <c r="P835">
        <v>1</v>
      </c>
      <c r="Q835" t="s">
        <v>24</v>
      </c>
      <c r="R835">
        <v>3</v>
      </c>
      <c r="S835">
        <v>2539</v>
      </c>
      <c r="T835" t="s">
        <v>21</v>
      </c>
    </row>
    <row r="836" spans="1:20" x14ac:dyDescent="0.25">
      <c r="A836">
        <v>34</v>
      </c>
      <c r="B836" t="str">
        <f t="shared" si="13"/>
        <v>25-34</v>
      </c>
      <c r="C836" t="s">
        <v>21</v>
      </c>
      <c r="F836" t="s">
        <v>17</v>
      </c>
      <c r="G836">
        <v>1400</v>
      </c>
      <c r="H836" t="s">
        <v>18</v>
      </c>
      <c r="I836">
        <v>9</v>
      </c>
      <c r="J836">
        <v>1</v>
      </c>
      <c r="K836" t="s">
        <v>19</v>
      </c>
      <c r="L836">
        <v>1</v>
      </c>
      <c r="M836">
        <v>1163</v>
      </c>
      <c r="O836">
        <v>2</v>
      </c>
      <c r="P836">
        <v>2</v>
      </c>
      <c r="Q836" t="s">
        <v>20</v>
      </c>
      <c r="R836">
        <v>3</v>
      </c>
      <c r="S836">
        <v>5714</v>
      </c>
      <c r="T836" t="s">
        <v>21</v>
      </c>
    </row>
    <row r="837" spans="1:20" x14ac:dyDescent="0.25">
      <c r="A837">
        <v>35</v>
      </c>
      <c r="B837" t="str">
        <f t="shared" si="13"/>
        <v>35-44</v>
      </c>
      <c r="C837" t="s">
        <v>21</v>
      </c>
      <c r="F837" t="s">
        <v>17</v>
      </c>
      <c r="G837">
        <v>528</v>
      </c>
      <c r="H837" t="s">
        <v>36</v>
      </c>
      <c r="I837">
        <v>8</v>
      </c>
      <c r="J837">
        <v>4</v>
      </c>
      <c r="K837" t="s">
        <v>35</v>
      </c>
      <c r="L837">
        <v>1</v>
      </c>
      <c r="M837">
        <v>1164</v>
      </c>
      <c r="O837">
        <v>3</v>
      </c>
      <c r="P837">
        <v>1</v>
      </c>
      <c r="Q837" t="s">
        <v>36</v>
      </c>
      <c r="R837">
        <v>3</v>
      </c>
      <c r="S837">
        <v>4323</v>
      </c>
      <c r="T837" t="s">
        <v>21</v>
      </c>
    </row>
    <row r="838" spans="1:20" x14ac:dyDescent="0.25">
      <c r="A838">
        <v>29</v>
      </c>
      <c r="B838" t="str">
        <f t="shared" si="13"/>
        <v>25-34</v>
      </c>
      <c r="C838" t="s">
        <v>16</v>
      </c>
      <c r="F838" t="s">
        <v>17</v>
      </c>
      <c r="G838">
        <v>408</v>
      </c>
      <c r="H838" t="s">
        <v>18</v>
      </c>
      <c r="I838">
        <v>23</v>
      </c>
      <c r="J838">
        <v>1</v>
      </c>
      <c r="K838" t="s">
        <v>19</v>
      </c>
      <c r="L838">
        <v>1</v>
      </c>
      <c r="M838">
        <v>1165</v>
      </c>
      <c r="O838">
        <v>4</v>
      </c>
      <c r="P838">
        <v>3</v>
      </c>
      <c r="Q838" t="s">
        <v>20</v>
      </c>
      <c r="R838">
        <v>1</v>
      </c>
      <c r="S838">
        <v>7336</v>
      </c>
      <c r="T838" t="s">
        <v>21</v>
      </c>
    </row>
    <row r="839" spans="1:20" x14ac:dyDescent="0.25">
      <c r="A839">
        <v>40</v>
      </c>
      <c r="B839" t="str">
        <f t="shared" si="13"/>
        <v>35-44</v>
      </c>
      <c r="C839" t="s">
        <v>21</v>
      </c>
      <c r="F839" t="s">
        <v>22</v>
      </c>
      <c r="G839">
        <v>593</v>
      </c>
      <c r="H839" t="s">
        <v>23</v>
      </c>
      <c r="I839">
        <v>9</v>
      </c>
      <c r="J839">
        <v>4</v>
      </c>
      <c r="K839" t="s">
        <v>27</v>
      </c>
      <c r="L839">
        <v>1</v>
      </c>
      <c r="M839">
        <v>1166</v>
      </c>
      <c r="O839">
        <v>2</v>
      </c>
      <c r="P839">
        <v>3</v>
      </c>
      <c r="Q839" t="s">
        <v>33</v>
      </c>
      <c r="R839">
        <v>3</v>
      </c>
      <c r="S839">
        <v>13499</v>
      </c>
      <c r="T839" t="s">
        <v>21</v>
      </c>
    </row>
    <row r="840" spans="1:20" x14ac:dyDescent="0.25">
      <c r="A840">
        <v>42</v>
      </c>
      <c r="B840" t="str">
        <f t="shared" si="13"/>
        <v>35-44</v>
      </c>
      <c r="C840" t="s">
        <v>16</v>
      </c>
      <c r="F840" t="s">
        <v>22</v>
      </c>
      <c r="G840">
        <v>481</v>
      </c>
      <c r="H840" t="s">
        <v>18</v>
      </c>
      <c r="I840">
        <v>12</v>
      </c>
      <c r="J840">
        <v>3</v>
      </c>
      <c r="K840" t="s">
        <v>19</v>
      </c>
      <c r="L840">
        <v>1</v>
      </c>
      <c r="M840">
        <v>1167</v>
      </c>
      <c r="O840">
        <v>3</v>
      </c>
      <c r="P840">
        <v>4</v>
      </c>
      <c r="Q840" t="s">
        <v>20</v>
      </c>
      <c r="R840">
        <v>1</v>
      </c>
      <c r="S840">
        <v>13758</v>
      </c>
      <c r="T840" t="s">
        <v>16</v>
      </c>
    </row>
    <row r="841" spans="1:20" x14ac:dyDescent="0.25">
      <c r="A841">
        <v>42</v>
      </c>
      <c r="B841" t="str">
        <f t="shared" si="13"/>
        <v>35-44</v>
      </c>
      <c r="C841" t="s">
        <v>21</v>
      </c>
      <c r="F841" t="s">
        <v>17</v>
      </c>
      <c r="G841">
        <v>647</v>
      </c>
      <c r="H841" t="s">
        <v>18</v>
      </c>
      <c r="I841">
        <v>4</v>
      </c>
      <c r="J841">
        <v>4</v>
      </c>
      <c r="K841" t="s">
        <v>34</v>
      </c>
      <c r="L841">
        <v>1</v>
      </c>
      <c r="M841">
        <v>1171</v>
      </c>
      <c r="O841">
        <v>2</v>
      </c>
      <c r="P841">
        <v>2</v>
      </c>
      <c r="Q841" t="s">
        <v>20</v>
      </c>
      <c r="R841">
        <v>1</v>
      </c>
      <c r="S841">
        <v>5155</v>
      </c>
      <c r="T841" t="s">
        <v>21</v>
      </c>
    </row>
    <row r="842" spans="1:20" x14ac:dyDescent="0.25">
      <c r="A842">
        <v>35</v>
      </c>
      <c r="B842" t="str">
        <f t="shared" si="13"/>
        <v>35-44</v>
      </c>
      <c r="C842" t="s">
        <v>21</v>
      </c>
      <c r="F842" t="s">
        <v>17</v>
      </c>
      <c r="G842">
        <v>982</v>
      </c>
      <c r="H842" t="s">
        <v>23</v>
      </c>
      <c r="I842">
        <v>1</v>
      </c>
      <c r="J842">
        <v>4</v>
      </c>
      <c r="K842" t="s">
        <v>27</v>
      </c>
      <c r="L842">
        <v>1</v>
      </c>
      <c r="M842">
        <v>1172</v>
      </c>
      <c r="O842">
        <v>4</v>
      </c>
      <c r="P842">
        <v>1</v>
      </c>
      <c r="Q842" t="s">
        <v>26</v>
      </c>
      <c r="R842">
        <v>3</v>
      </c>
      <c r="S842">
        <v>2258</v>
      </c>
      <c r="T842" t="s">
        <v>21</v>
      </c>
    </row>
    <row r="843" spans="1:20" x14ac:dyDescent="0.25">
      <c r="A843">
        <v>24</v>
      </c>
      <c r="B843" t="str">
        <f t="shared" si="13"/>
        <v>18-24</v>
      </c>
      <c r="C843" t="s">
        <v>21</v>
      </c>
      <c r="F843" t="s">
        <v>17</v>
      </c>
      <c r="G843">
        <v>477</v>
      </c>
      <c r="H843" t="s">
        <v>23</v>
      </c>
      <c r="I843">
        <v>24</v>
      </c>
      <c r="J843">
        <v>3</v>
      </c>
      <c r="K843" t="s">
        <v>27</v>
      </c>
      <c r="L843">
        <v>1</v>
      </c>
      <c r="M843">
        <v>1173</v>
      </c>
      <c r="O843">
        <v>4</v>
      </c>
      <c r="P843">
        <v>1</v>
      </c>
      <c r="Q843" t="s">
        <v>26</v>
      </c>
      <c r="R843">
        <v>2</v>
      </c>
      <c r="S843">
        <v>3597</v>
      </c>
      <c r="T843" t="s">
        <v>21</v>
      </c>
    </row>
    <row r="844" spans="1:20" x14ac:dyDescent="0.25">
      <c r="A844">
        <v>28</v>
      </c>
      <c r="B844" t="str">
        <f t="shared" si="13"/>
        <v>25-34</v>
      </c>
      <c r="C844" t="s">
        <v>16</v>
      </c>
      <c r="F844" t="s">
        <v>17</v>
      </c>
      <c r="G844">
        <v>1485</v>
      </c>
      <c r="H844" t="s">
        <v>23</v>
      </c>
      <c r="I844">
        <v>12</v>
      </c>
      <c r="J844">
        <v>1</v>
      </c>
      <c r="K844" t="s">
        <v>19</v>
      </c>
      <c r="L844">
        <v>1</v>
      </c>
      <c r="M844">
        <v>1175</v>
      </c>
      <c r="O844">
        <v>3</v>
      </c>
      <c r="P844">
        <v>1</v>
      </c>
      <c r="Q844" t="s">
        <v>26</v>
      </c>
      <c r="R844">
        <v>4</v>
      </c>
      <c r="S844">
        <v>2515</v>
      </c>
      <c r="T844" t="s">
        <v>16</v>
      </c>
    </row>
    <row r="845" spans="1:20" x14ac:dyDescent="0.25">
      <c r="A845">
        <v>26</v>
      </c>
      <c r="B845" t="str">
        <f t="shared" si="13"/>
        <v>25-34</v>
      </c>
      <c r="C845" t="s">
        <v>21</v>
      </c>
      <c r="F845" t="s">
        <v>17</v>
      </c>
      <c r="G845">
        <v>1384</v>
      </c>
      <c r="H845" t="s">
        <v>23</v>
      </c>
      <c r="I845">
        <v>3</v>
      </c>
      <c r="J845">
        <v>4</v>
      </c>
      <c r="K845" t="s">
        <v>27</v>
      </c>
      <c r="L845">
        <v>1</v>
      </c>
      <c r="M845">
        <v>1177</v>
      </c>
      <c r="O845">
        <v>1</v>
      </c>
      <c r="P845">
        <v>1</v>
      </c>
      <c r="Q845" t="s">
        <v>26</v>
      </c>
      <c r="R845">
        <v>4</v>
      </c>
      <c r="S845">
        <v>4420</v>
      </c>
      <c r="T845" t="s">
        <v>21</v>
      </c>
    </row>
    <row r="846" spans="1:20" x14ac:dyDescent="0.25">
      <c r="A846">
        <v>30</v>
      </c>
      <c r="B846" t="str">
        <f t="shared" si="13"/>
        <v>25-34</v>
      </c>
      <c r="C846" t="s">
        <v>21</v>
      </c>
      <c r="F846" t="s">
        <v>17</v>
      </c>
      <c r="G846">
        <v>852</v>
      </c>
      <c r="H846" t="s">
        <v>18</v>
      </c>
      <c r="I846">
        <v>10</v>
      </c>
      <c r="J846">
        <v>3</v>
      </c>
      <c r="K846" t="s">
        <v>34</v>
      </c>
      <c r="L846">
        <v>1</v>
      </c>
      <c r="M846">
        <v>1179</v>
      </c>
      <c r="O846">
        <v>3</v>
      </c>
      <c r="P846">
        <v>2</v>
      </c>
      <c r="Q846" t="s">
        <v>20</v>
      </c>
      <c r="R846">
        <v>3</v>
      </c>
      <c r="S846">
        <v>6578</v>
      </c>
      <c r="T846" t="s">
        <v>21</v>
      </c>
    </row>
    <row r="847" spans="1:20" x14ac:dyDescent="0.25">
      <c r="A847">
        <v>40</v>
      </c>
      <c r="B847" t="str">
        <f t="shared" si="13"/>
        <v>35-44</v>
      </c>
      <c r="C847" t="s">
        <v>21</v>
      </c>
      <c r="F847" t="s">
        <v>22</v>
      </c>
      <c r="G847">
        <v>902</v>
      </c>
      <c r="H847" t="s">
        <v>23</v>
      </c>
      <c r="I847">
        <v>26</v>
      </c>
      <c r="J847">
        <v>2</v>
      </c>
      <c r="K847" t="s">
        <v>27</v>
      </c>
      <c r="L847">
        <v>1</v>
      </c>
      <c r="M847">
        <v>1180</v>
      </c>
      <c r="O847">
        <v>3</v>
      </c>
      <c r="P847">
        <v>2</v>
      </c>
      <c r="Q847" t="s">
        <v>24</v>
      </c>
      <c r="R847">
        <v>4</v>
      </c>
      <c r="S847">
        <v>4422</v>
      </c>
      <c r="T847" t="s">
        <v>16</v>
      </c>
    </row>
    <row r="848" spans="1:20" x14ac:dyDescent="0.25">
      <c r="A848">
        <v>35</v>
      </c>
      <c r="B848" t="str">
        <f t="shared" si="13"/>
        <v>35-44</v>
      </c>
      <c r="C848" t="s">
        <v>21</v>
      </c>
      <c r="F848" t="s">
        <v>17</v>
      </c>
      <c r="G848">
        <v>819</v>
      </c>
      <c r="H848" t="s">
        <v>23</v>
      </c>
      <c r="I848">
        <v>2</v>
      </c>
      <c r="J848">
        <v>3</v>
      </c>
      <c r="K848" t="s">
        <v>19</v>
      </c>
      <c r="L848">
        <v>1</v>
      </c>
      <c r="M848">
        <v>1182</v>
      </c>
      <c r="O848">
        <v>3</v>
      </c>
      <c r="P848">
        <v>3</v>
      </c>
      <c r="Q848" t="s">
        <v>28</v>
      </c>
      <c r="R848">
        <v>2</v>
      </c>
      <c r="S848">
        <v>10274</v>
      </c>
      <c r="T848" t="s">
        <v>21</v>
      </c>
    </row>
    <row r="849" spans="1:20" x14ac:dyDescent="0.25">
      <c r="A849">
        <v>34</v>
      </c>
      <c r="B849" t="str">
        <f t="shared" si="13"/>
        <v>25-34</v>
      </c>
      <c r="C849" t="s">
        <v>21</v>
      </c>
      <c r="F849" t="s">
        <v>22</v>
      </c>
      <c r="G849">
        <v>669</v>
      </c>
      <c r="H849" t="s">
        <v>23</v>
      </c>
      <c r="I849">
        <v>1</v>
      </c>
      <c r="J849">
        <v>3</v>
      </c>
      <c r="K849" t="s">
        <v>27</v>
      </c>
      <c r="L849">
        <v>1</v>
      </c>
      <c r="M849">
        <v>1184</v>
      </c>
      <c r="O849">
        <v>4</v>
      </c>
      <c r="P849">
        <v>2</v>
      </c>
      <c r="Q849" t="s">
        <v>29</v>
      </c>
      <c r="R849">
        <v>1</v>
      </c>
      <c r="S849">
        <v>5343</v>
      </c>
      <c r="T849" t="s">
        <v>21</v>
      </c>
    </row>
    <row r="850" spans="1:20" x14ac:dyDescent="0.25">
      <c r="A850">
        <v>35</v>
      </c>
      <c r="B850" t="str">
        <f t="shared" si="13"/>
        <v>35-44</v>
      </c>
      <c r="C850" t="s">
        <v>21</v>
      </c>
      <c r="F850" t="s">
        <v>22</v>
      </c>
      <c r="G850">
        <v>636</v>
      </c>
      <c r="H850" t="s">
        <v>23</v>
      </c>
      <c r="I850">
        <v>4</v>
      </c>
      <c r="J850">
        <v>4</v>
      </c>
      <c r="K850" t="s">
        <v>25</v>
      </c>
      <c r="L850">
        <v>1</v>
      </c>
      <c r="M850">
        <v>1185</v>
      </c>
      <c r="O850">
        <v>4</v>
      </c>
      <c r="P850">
        <v>1</v>
      </c>
      <c r="Q850" t="s">
        <v>26</v>
      </c>
      <c r="R850">
        <v>4</v>
      </c>
      <c r="S850">
        <v>2376</v>
      </c>
      <c r="T850" t="s">
        <v>21</v>
      </c>
    </row>
    <row r="851" spans="1:20" x14ac:dyDescent="0.25">
      <c r="A851">
        <v>43</v>
      </c>
      <c r="B851" t="str">
        <f t="shared" si="13"/>
        <v>35-44</v>
      </c>
      <c r="C851" t="s">
        <v>16</v>
      </c>
      <c r="F851" t="s">
        <v>17</v>
      </c>
      <c r="G851">
        <v>1372</v>
      </c>
      <c r="H851" t="s">
        <v>18</v>
      </c>
      <c r="I851">
        <v>9</v>
      </c>
      <c r="J851">
        <v>3</v>
      </c>
      <c r="K851" t="s">
        <v>34</v>
      </c>
      <c r="L851">
        <v>1</v>
      </c>
      <c r="M851">
        <v>1188</v>
      </c>
      <c r="O851">
        <v>1</v>
      </c>
      <c r="P851">
        <v>2</v>
      </c>
      <c r="Q851" t="s">
        <v>20</v>
      </c>
      <c r="R851">
        <v>3</v>
      </c>
      <c r="S851">
        <v>5346</v>
      </c>
      <c r="T851" t="s">
        <v>21</v>
      </c>
    </row>
    <row r="852" spans="1:20" x14ac:dyDescent="0.25">
      <c r="A852">
        <v>32</v>
      </c>
      <c r="B852" t="str">
        <f t="shared" si="13"/>
        <v>25-34</v>
      </c>
      <c r="C852" t="s">
        <v>21</v>
      </c>
      <c r="F852" t="s">
        <v>30</v>
      </c>
      <c r="G852">
        <v>862</v>
      </c>
      <c r="H852" t="s">
        <v>18</v>
      </c>
      <c r="I852">
        <v>2</v>
      </c>
      <c r="J852">
        <v>1</v>
      </c>
      <c r="K852" t="s">
        <v>19</v>
      </c>
      <c r="L852">
        <v>1</v>
      </c>
      <c r="M852">
        <v>1190</v>
      </c>
      <c r="O852">
        <v>3</v>
      </c>
      <c r="P852">
        <v>1</v>
      </c>
      <c r="Q852" t="s">
        <v>32</v>
      </c>
      <c r="R852">
        <v>1</v>
      </c>
      <c r="S852">
        <v>2827</v>
      </c>
      <c r="T852" t="s">
        <v>21</v>
      </c>
    </row>
    <row r="853" spans="1:20" x14ac:dyDescent="0.25">
      <c r="A853">
        <v>56</v>
      </c>
      <c r="B853" t="str">
        <f t="shared" si="13"/>
        <v>55+</v>
      </c>
      <c r="C853" t="s">
        <v>21</v>
      </c>
      <c r="F853" t="s">
        <v>17</v>
      </c>
      <c r="G853">
        <v>718</v>
      </c>
      <c r="H853" t="s">
        <v>23</v>
      </c>
      <c r="I853">
        <v>4</v>
      </c>
      <c r="J853">
        <v>4</v>
      </c>
      <c r="K853" t="s">
        <v>35</v>
      </c>
      <c r="L853">
        <v>1</v>
      </c>
      <c r="M853">
        <v>1191</v>
      </c>
      <c r="O853">
        <v>4</v>
      </c>
      <c r="P853">
        <v>5</v>
      </c>
      <c r="Q853" t="s">
        <v>31</v>
      </c>
      <c r="R853">
        <v>1</v>
      </c>
      <c r="S853">
        <v>19943</v>
      </c>
      <c r="T853" t="s">
        <v>21</v>
      </c>
    </row>
    <row r="854" spans="1:20" x14ac:dyDescent="0.25">
      <c r="A854">
        <v>29</v>
      </c>
      <c r="B854" t="str">
        <f t="shared" si="13"/>
        <v>25-34</v>
      </c>
      <c r="C854" t="s">
        <v>21</v>
      </c>
      <c r="F854" t="s">
        <v>17</v>
      </c>
      <c r="G854">
        <v>1401</v>
      </c>
      <c r="H854" t="s">
        <v>23</v>
      </c>
      <c r="I854">
        <v>6</v>
      </c>
      <c r="J854">
        <v>1</v>
      </c>
      <c r="K854" t="s">
        <v>27</v>
      </c>
      <c r="L854">
        <v>1</v>
      </c>
      <c r="M854">
        <v>1192</v>
      </c>
      <c r="O854">
        <v>2</v>
      </c>
      <c r="P854">
        <v>1</v>
      </c>
      <c r="Q854" t="s">
        <v>26</v>
      </c>
      <c r="R854">
        <v>4</v>
      </c>
      <c r="S854">
        <v>3131</v>
      </c>
      <c r="T854" t="s">
        <v>21</v>
      </c>
    </row>
    <row r="855" spans="1:20" x14ac:dyDescent="0.25">
      <c r="A855">
        <v>19</v>
      </c>
      <c r="B855" t="str">
        <f t="shared" si="13"/>
        <v>18-24</v>
      </c>
      <c r="C855" t="s">
        <v>21</v>
      </c>
      <c r="F855" t="s">
        <v>17</v>
      </c>
      <c r="G855">
        <v>645</v>
      </c>
      <c r="H855" t="s">
        <v>23</v>
      </c>
      <c r="I855">
        <v>9</v>
      </c>
      <c r="J855">
        <v>2</v>
      </c>
      <c r="K855" t="s">
        <v>19</v>
      </c>
      <c r="L855">
        <v>1</v>
      </c>
      <c r="M855">
        <v>1193</v>
      </c>
      <c r="O855">
        <v>3</v>
      </c>
      <c r="P855">
        <v>1</v>
      </c>
      <c r="Q855" t="s">
        <v>24</v>
      </c>
      <c r="R855">
        <v>1</v>
      </c>
      <c r="S855">
        <v>2552</v>
      </c>
      <c r="T855" t="s">
        <v>21</v>
      </c>
    </row>
    <row r="856" spans="1:20" x14ac:dyDescent="0.25">
      <c r="A856">
        <v>45</v>
      </c>
      <c r="B856" t="str">
        <f t="shared" si="13"/>
        <v>45-54</v>
      </c>
      <c r="C856" t="s">
        <v>21</v>
      </c>
      <c r="F856" t="s">
        <v>17</v>
      </c>
      <c r="G856">
        <v>1457</v>
      </c>
      <c r="H856" t="s">
        <v>23</v>
      </c>
      <c r="I856">
        <v>7</v>
      </c>
      <c r="J856">
        <v>3</v>
      </c>
      <c r="K856" t="s">
        <v>27</v>
      </c>
      <c r="L856">
        <v>1</v>
      </c>
      <c r="M856">
        <v>1195</v>
      </c>
      <c r="O856">
        <v>1</v>
      </c>
      <c r="P856">
        <v>1</v>
      </c>
      <c r="Q856" t="s">
        <v>24</v>
      </c>
      <c r="R856">
        <v>3</v>
      </c>
      <c r="S856">
        <v>4477</v>
      </c>
      <c r="T856" t="s">
        <v>16</v>
      </c>
    </row>
    <row r="857" spans="1:20" x14ac:dyDescent="0.25">
      <c r="A857">
        <v>37</v>
      </c>
      <c r="B857" t="str">
        <f t="shared" si="13"/>
        <v>35-44</v>
      </c>
      <c r="C857" t="s">
        <v>21</v>
      </c>
      <c r="F857" t="s">
        <v>17</v>
      </c>
      <c r="G857">
        <v>977</v>
      </c>
      <c r="H857" t="s">
        <v>23</v>
      </c>
      <c r="I857">
        <v>1</v>
      </c>
      <c r="J857">
        <v>3</v>
      </c>
      <c r="K857" t="s">
        <v>19</v>
      </c>
      <c r="L857">
        <v>1</v>
      </c>
      <c r="M857">
        <v>1196</v>
      </c>
      <c r="O857">
        <v>4</v>
      </c>
      <c r="P857">
        <v>2</v>
      </c>
      <c r="Q857" t="s">
        <v>28</v>
      </c>
      <c r="R857">
        <v>4</v>
      </c>
      <c r="S857">
        <v>6474</v>
      </c>
      <c r="T857" t="s">
        <v>21</v>
      </c>
    </row>
    <row r="858" spans="1:20" x14ac:dyDescent="0.25">
      <c r="A858">
        <v>20</v>
      </c>
      <c r="B858" t="str">
        <f t="shared" si="13"/>
        <v>18-24</v>
      </c>
      <c r="C858" t="s">
        <v>21</v>
      </c>
      <c r="F858" t="s">
        <v>17</v>
      </c>
      <c r="G858">
        <v>805</v>
      </c>
      <c r="H858" t="s">
        <v>23</v>
      </c>
      <c r="I858">
        <v>3</v>
      </c>
      <c r="J858">
        <v>3</v>
      </c>
      <c r="K858" t="s">
        <v>19</v>
      </c>
      <c r="L858">
        <v>1</v>
      </c>
      <c r="M858">
        <v>1198</v>
      </c>
      <c r="O858">
        <v>1</v>
      </c>
      <c r="P858">
        <v>1</v>
      </c>
      <c r="Q858" t="s">
        <v>26</v>
      </c>
      <c r="R858">
        <v>3</v>
      </c>
      <c r="S858">
        <v>3033</v>
      </c>
      <c r="T858" t="s">
        <v>21</v>
      </c>
    </row>
    <row r="859" spans="1:20" x14ac:dyDescent="0.25">
      <c r="A859">
        <v>44</v>
      </c>
      <c r="B859" t="str">
        <f t="shared" si="13"/>
        <v>35-44</v>
      </c>
      <c r="C859" t="s">
        <v>16</v>
      </c>
      <c r="F859" t="s">
        <v>17</v>
      </c>
      <c r="G859">
        <v>1097</v>
      </c>
      <c r="H859" t="s">
        <v>23</v>
      </c>
      <c r="I859">
        <v>10</v>
      </c>
      <c r="J859">
        <v>4</v>
      </c>
      <c r="K859" t="s">
        <v>19</v>
      </c>
      <c r="L859">
        <v>1</v>
      </c>
      <c r="M859">
        <v>1200</v>
      </c>
      <c r="O859">
        <v>3</v>
      </c>
      <c r="P859">
        <v>1</v>
      </c>
      <c r="Q859" t="s">
        <v>24</v>
      </c>
      <c r="R859">
        <v>3</v>
      </c>
      <c r="S859">
        <v>2936</v>
      </c>
      <c r="T859" t="s">
        <v>16</v>
      </c>
    </row>
    <row r="860" spans="1:20" x14ac:dyDescent="0.25">
      <c r="A860">
        <v>53</v>
      </c>
      <c r="B860" t="str">
        <f t="shared" si="13"/>
        <v>45-54</v>
      </c>
      <c r="C860" t="s">
        <v>21</v>
      </c>
      <c r="F860" t="s">
        <v>17</v>
      </c>
      <c r="G860">
        <v>1223</v>
      </c>
      <c r="H860" t="s">
        <v>23</v>
      </c>
      <c r="I860">
        <v>7</v>
      </c>
      <c r="J860">
        <v>2</v>
      </c>
      <c r="K860" t="s">
        <v>27</v>
      </c>
      <c r="L860">
        <v>1</v>
      </c>
      <c r="M860">
        <v>1201</v>
      </c>
      <c r="O860">
        <v>4</v>
      </c>
      <c r="P860">
        <v>5</v>
      </c>
      <c r="Q860" t="s">
        <v>31</v>
      </c>
      <c r="R860">
        <v>3</v>
      </c>
      <c r="S860">
        <v>18606</v>
      </c>
      <c r="T860" t="s">
        <v>21</v>
      </c>
    </row>
    <row r="861" spans="1:20" x14ac:dyDescent="0.25">
      <c r="A861">
        <v>29</v>
      </c>
      <c r="B861" t="str">
        <f t="shared" si="13"/>
        <v>25-34</v>
      </c>
      <c r="C861" t="s">
        <v>21</v>
      </c>
      <c r="F861" t="s">
        <v>17</v>
      </c>
      <c r="G861">
        <v>942</v>
      </c>
      <c r="H861" t="s">
        <v>23</v>
      </c>
      <c r="I861">
        <v>15</v>
      </c>
      <c r="J861">
        <v>1</v>
      </c>
      <c r="K861" t="s">
        <v>19</v>
      </c>
      <c r="L861">
        <v>1</v>
      </c>
      <c r="M861">
        <v>1202</v>
      </c>
      <c r="O861">
        <v>2</v>
      </c>
      <c r="P861">
        <v>1</v>
      </c>
      <c r="Q861" t="s">
        <v>24</v>
      </c>
      <c r="R861">
        <v>4</v>
      </c>
      <c r="S861">
        <v>2168</v>
      </c>
      <c r="T861" t="s">
        <v>16</v>
      </c>
    </row>
    <row r="862" spans="1:20" x14ac:dyDescent="0.25">
      <c r="A862">
        <v>22</v>
      </c>
      <c r="B862" t="str">
        <f t="shared" si="13"/>
        <v>18-24</v>
      </c>
      <c r="C862" t="s">
        <v>16</v>
      </c>
      <c r="F862" t="s">
        <v>22</v>
      </c>
      <c r="G862">
        <v>1256</v>
      </c>
      <c r="H862" t="s">
        <v>23</v>
      </c>
      <c r="I862">
        <v>3</v>
      </c>
      <c r="J862">
        <v>4</v>
      </c>
      <c r="K862" t="s">
        <v>19</v>
      </c>
      <c r="L862">
        <v>1</v>
      </c>
      <c r="M862">
        <v>1203</v>
      </c>
      <c r="O862">
        <v>3</v>
      </c>
      <c r="P862">
        <v>1</v>
      </c>
      <c r="Q862" t="s">
        <v>24</v>
      </c>
      <c r="R862">
        <v>4</v>
      </c>
      <c r="S862">
        <v>2853</v>
      </c>
      <c r="T862" t="s">
        <v>16</v>
      </c>
    </row>
    <row r="863" spans="1:20" x14ac:dyDescent="0.25">
      <c r="A863">
        <v>46</v>
      </c>
      <c r="B863" t="str">
        <f t="shared" si="13"/>
        <v>45-54</v>
      </c>
      <c r="C863" t="s">
        <v>21</v>
      </c>
      <c r="F863" t="s">
        <v>17</v>
      </c>
      <c r="G863">
        <v>1402</v>
      </c>
      <c r="H863" t="s">
        <v>18</v>
      </c>
      <c r="I863">
        <v>2</v>
      </c>
      <c r="J863">
        <v>3</v>
      </c>
      <c r="K863" t="s">
        <v>34</v>
      </c>
      <c r="L863">
        <v>1</v>
      </c>
      <c r="M863">
        <v>1204</v>
      </c>
      <c r="O863">
        <v>3</v>
      </c>
      <c r="P863">
        <v>4</v>
      </c>
      <c r="Q863" t="s">
        <v>31</v>
      </c>
      <c r="R863">
        <v>1</v>
      </c>
      <c r="S863">
        <v>17048</v>
      </c>
      <c r="T863" t="s">
        <v>21</v>
      </c>
    </row>
    <row r="864" spans="1:20" x14ac:dyDescent="0.25">
      <c r="A864">
        <v>44</v>
      </c>
      <c r="B864" t="str">
        <f t="shared" si="13"/>
        <v>35-44</v>
      </c>
      <c r="C864" t="s">
        <v>21</v>
      </c>
      <c r="F864" t="s">
        <v>30</v>
      </c>
      <c r="G864">
        <v>111</v>
      </c>
      <c r="H864" t="s">
        <v>23</v>
      </c>
      <c r="I864">
        <v>17</v>
      </c>
      <c r="J864">
        <v>3</v>
      </c>
      <c r="K864" t="s">
        <v>19</v>
      </c>
      <c r="L864">
        <v>1</v>
      </c>
      <c r="M864">
        <v>1206</v>
      </c>
      <c r="O864">
        <v>4</v>
      </c>
      <c r="P864">
        <v>1</v>
      </c>
      <c r="Q864" t="s">
        <v>24</v>
      </c>
      <c r="R864">
        <v>3</v>
      </c>
      <c r="S864">
        <v>2290</v>
      </c>
      <c r="T864" t="s">
        <v>21</v>
      </c>
    </row>
    <row r="865" spans="1:20" x14ac:dyDescent="0.25">
      <c r="A865">
        <v>33</v>
      </c>
      <c r="B865" t="str">
        <f t="shared" si="13"/>
        <v>25-34</v>
      </c>
      <c r="C865" t="s">
        <v>21</v>
      </c>
      <c r="F865" t="s">
        <v>17</v>
      </c>
      <c r="G865">
        <v>147</v>
      </c>
      <c r="H865" t="s">
        <v>36</v>
      </c>
      <c r="I865">
        <v>2</v>
      </c>
      <c r="J865">
        <v>3</v>
      </c>
      <c r="K865" t="s">
        <v>36</v>
      </c>
      <c r="L865">
        <v>1</v>
      </c>
      <c r="M865">
        <v>1207</v>
      </c>
      <c r="O865">
        <v>2</v>
      </c>
      <c r="P865">
        <v>1</v>
      </c>
      <c r="Q865" t="s">
        <v>36</v>
      </c>
      <c r="R865">
        <v>3</v>
      </c>
      <c r="S865">
        <v>3600</v>
      </c>
      <c r="T865" t="s">
        <v>21</v>
      </c>
    </row>
    <row r="866" spans="1:20" x14ac:dyDescent="0.25">
      <c r="A866">
        <v>41</v>
      </c>
      <c r="B866" t="str">
        <f t="shared" si="13"/>
        <v>35-44</v>
      </c>
      <c r="C866" t="s">
        <v>16</v>
      </c>
      <c r="F866" t="s">
        <v>30</v>
      </c>
      <c r="G866">
        <v>906</v>
      </c>
      <c r="H866" t="s">
        <v>23</v>
      </c>
      <c r="I866">
        <v>5</v>
      </c>
      <c r="J866">
        <v>2</v>
      </c>
      <c r="K866" t="s">
        <v>19</v>
      </c>
      <c r="L866">
        <v>1</v>
      </c>
      <c r="M866">
        <v>1210</v>
      </c>
      <c r="O866">
        <v>1</v>
      </c>
      <c r="P866">
        <v>1</v>
      </c>
      <c r="Q866" t="s">
        <v>24</v>
      </c>
      <c r="R866">
        <v>1</v>
      </c>
      <c r="S866">
        <v>2107</v>
      </c>
      <c r="T866" t="s">
        <v>21</v>
      </c>
    </row>
    <row r="867" spans="1:20" x14ac:dyDescent="0.25">
      <c r="A867">
        <v>30</v>
      </c>
      <c r="B867" t="str">
        <f t="shared" si="13"/>
        <v>25-34</v>
      </c>
      <c r="C867" t="s">
        <v>21</v>
      </c>
      <c r="F867" t="s">
        <v>17</v>
      </c>
      <c r="G867">
        <v>1329</v>
      </c>
      <c r="H867" t="s">
        <v>18</v>
      </c>
      <c r="I867">
        <v>29</v>
      </c>
      <c r="J867">
        <v>4</v>
      </c>
      <c r="K867" t="s">
        <v>19</v>
      </c>
      <c r="L867">
        <v>1</v>
      </c>
      <c r="M867">
        <v>1211</v>
      </c>
      <c r="O867">
        <v>3</v>
      </c>
      <c r="P867">
        <v>2</v>
      </c>
      <c r="Q867" t="s">
        <v>20</v>
      </c>
      <c r="R867">
        <v>1</v>
      </c>
      <c r="S867">
        <v>4115</v>
      </c>
      <c r="T867" t="s">
        <v>21</v>
      </c>
    </row>
    <row r="868" spans="1:20" x14ac:dyDescent="0.25">
      <c r="A868">
        <v>40</v>
      </c>
      <c r="B868" t="str">
        <f t="shared" si="13"/>
        <v>35-44</v>
      </c>
      <c r="C868" t="s">
        <v>21</v>
      </c>
      <c r="F868" t="s">
        <v>22</v>
      </c>
      <c r="G868">
        <v>1184</v>
      </c>
      <c r="H868" t="s">
        <v>18</v>
      </c>
      <c r="I868">
        <v>2</v>
      </c>
      <c r="J868">
        <v>4</v>
      </c>
      <c r="K868" t="s">
        <v>27</v>
      </c>
      <c r="L868">
        <v>1</v>
      </c>
      <c r="M868">
        <v>1212</v>
      </c>
      <c r="O868">
        <v>2</v>
      </c>
      <c r="P868">
        <v>2</v>
      </c>
      <c r="Q868" t="s">
        <v>20</v>
      </c>
      <c r="R868">
        <v>2</v>
      </c>
      <c r="S868">
        <v>4327</v>
      </c>
      <c r="T868" t="s">
        <v>21</v>
      </c>
    </row>
    <row r="869" spans="1:20" x14ac:dyDescent="0.25">
      <c r="A869">
        <v>50</v>
      </c>
      <c r="B869" t="str">
        <f t="shared" si="13"/>
        <v>45-54</v>
      </c>
      <c r="C869" t="s">
        <v>21</v>
      </c>
      <c r="F869" t="s">
        <v>22</v>
      </c>
      <c r="G869">
        <v>1421</v>
      </c>
      <c r="H869" t="s">
        <v>23</v>
      </c>
      <c r="I869">
        <v>2</v>
      </c>
      <c r="J869">
        <v>3</v>
      </c>
      <c r="K869" t="s">
        <v>27</v>
      </c>
      <c r="L869">
        <v>1</v>
      </c>
      <c r="M869">
        <v>1215</v>
      </c>
      <c r="O869">
        <v>4</v>
      </c>
      <c r="P869">
        <v>4</v>
      </c>
      <c r="Q869" t="s">
        <v>31</v>
      </c>
      <c r="R869">
        <v>1</v>
      </c>
      <c r="S869">
        <v>17856</v>
      </c>
      <c r="T869" t="s">
        <v>21</v>
      </c>
    </row>
    <row r="870" spans="1:20" x14ac:dyDescent="0.25">
      <c r="A870">
        <v>28</v>
      </c>
      <c r="B870" t="str">
        <f t="shared" si="13"/>
        <v>25-34</v>
      </c>
      <c r="C870" t="s">
        <v>21</v>
      </c>
      <c r="F870" t="s">
        <v>17</v>
      </c>
      <c r="G870">
        <v>1179</v>
      </c>
      <c r="H870" t="s">
        <v>23</v>
      </c>
      <c r="I870">
        <v>19</v>
      </c>
      <c r="J870">
        <v>4</v>
      </c>
      <c r="K870" t="s">
        <v>27</v>
      </c>
      <c r="L870">
        <v>1</v>
      </c>
      <c r="M870">
        <v>1216</v>
      </c>
      <c r="O870">
        <v>4</v>
      </c>
      <c r="P870">
        <v>1</v>
      </c>
      <c r="Q870" t="s">
        <v>26</v>
      </c>
      <c r="R870">
        <v>1</v>
      </c>
      <c r="S870">
        <v>3196</v>
      </c>
      <c r="T870" t="s">
        <v>21</v>
      </c>
    </row>
    <row r="871" spans="1:20" x14ac:dyDescent="0.25">
      <c r="A871">
        <v>46</v>
      </c>
      <c r="B871" t="str">
        <f t="shared" si="13"/>
        <v>45-54</v>
      </c>
      <c r="C871" t="s">
        <v>21</v>
      </c>
      <c r="F871" t="s">
        <v>17</v>
      </c>
      <c r="G871">
        <v>1450</v>
      </c>
      <c r="H871" t="s">
        <v>23</v>
      </c>
      <c r="I871">
        <v>15</v>
      </c>
      <c r="J871">
        <v>2</v>
      </c>
      <c r="K871" t="s">
        <v>19</v>
      </c>
      <c r="L871">
        <v>1</v>
      </c>
      <c r="M871">
        <v>1217</v>
      </c>
      <c r="O871">
        <v>4</v>
      </c>
      <c r="P871">
        <v>5</v>
      </c>
      <c r="Q871" t="s">
        <v>33</v>
      </c>
      <c r="R871">
        <v>2</v>
      </c>
      <c r="S871">
        <v>19081</v>
      </c>
      <c r="T871" t="s">
        <v>21</v>
      </c>
    </row>
    <row r="872" spans="1:20" x14ac:dyDescent="0.25">
      <c r="A872">
        <v>35</v>
      </c>
      <c r="B872" t="str">
        <f t="shared" si="13"/>
        <v>35-44</v>
      </c>
      <c r="C872" t="s">
        <v>21</v>
      </c>
      <c r="F872" t="s">
        <v>17</v>
      </c>
      <c r="G872">
        <v>1361</v>
      </c>
      <c r="H872" t="s">
        <v>18</v>
      </c>
      <c r="I872">
        <v>17</v>
      </c>
      <c r="J872">
        <v>4</v>
      </c>
      <c r="K872" t="s">
        <v>19</v>
      </c>
      <c r="L872">
        <v>1</v>
      </c>
      <c r="M872">
        <v>1218</v>
      </c>
      <c r="O872">
        <v>3</v>
      </c>
      <c r="P872">
        <v>2</v>
      </c>
      <c r="Q872" t="s">
        <v>20</v>
      </c>
      <c r="R872">
        <v>1</v>
      </c>
      <c r="S872">
        <v>8966</v>
      </c>
      <c r="T872" t="s">
        <v>16</v>
      </c>
    </row>
    <row r="873" spans="1:20" x14ac:dyDescent="0.25">
      <c r="A873">
        <v>24</v>
      </c>
      <c r="B873" t="str">
        <f t="shared" si="13"/>
        <v>18-24</v>
      </c>
      <c r="C873" t="s">
        <v>16</v>
      </c>
      <c r="F873" t="s">
        <v>17</v>
      </c>
      <c r="G873">
        <v>984</v>
      </c>
      <c r="H873" t="s">
        <v>23</v>
      </c>
      <c r="I873">
        <v>17</v>
      </c>
      <c r="J873">
        <v>2</v>
      </c>
      <c r="K873" t="s">
        <v>19</v>
      </c>
      <c r="L873">
        <v>1</v>
      </c>
      <c r="M873">
        <v>1219</v>
      </c>
      <c r="O873">
        <v>4</v>
      </c>
      <c r="P873">
        <v>1</v>
      </c>
      <c r="Q873" t="s">
        <v>26</v>
      </c>
      <c r="R873">
        <v>2</v>
      </c>
      <c r="S873">
        <v>2210</v>
      </c>
      <c r="T873" t="s">
        <v>21</v>
      </c>
    </row>
    <row r="874" spans="1:20" x14ac:dyDescent="0.25">
      <c r="A874">
        <v>33</v>
      </c>
      <c r="B874" t="str">
        <f t="shared" si="13"/>
        <v>25-34</v>
      </c>
      <c r="C874" t="s">
        <v>21</v>
      </c>
      <c r="F874" t="s">
        <v>22</v>
      </c>
      <c r="G874">
        <v>1146</v>
      </c>
      <c r="H874" t="s">
        <v>18</v>
      </c>
      <c r="I874">
        <v>25</v>
      </c>
      <c r="J874">
        <v>3</v>
      </c>
      <c r="K874" t="s">
        <v>27</v>
      </c>
      <c r="L874">
        <v>1</v>
      </c>
      <c r="M874">
        <v>1220</v>
      </c>
      <c r="O874">
        <v>2</v>
      </c>
      <c r="P874">
        <v>2</v>
      </c>
      <c r="Q874" t="s">
        <v>20</v>
      </c>
      <c r="R874">
        <v>3</v>
      </c>
      <c r="S874">
        <v>4539</v>
      </c>
      <c r="T874" t="s">
        <v>21</v>
      </c>
    </row>
    <row r="875" spans="1:20" x14ac:dyDescent="0.25">
      <c r="A875">
        <v>36</v>
      </c>
      <c r="B875" t="str">
        <f t="shared" si="13"/>
        <v>35-44</v>
      </c>
      <c r="C875" t="s">
        <v>21</v>
      </c>
      <c r="F875" t="s">
        <v>17</v>
      </c>
      <c r="G875">
        <v>917</v>
      </c>
      <c r="H875" t="s">
        <v>23</v>
      </c>
      <c r="I875">
        <v>6</v>
      </c>
      <c r="J875">
        <v>4</v>
      </c>
      <c r="K875" t="s">
        <v>19</v>
      </c>
      <c r="L875">
        <v>1</v>
      </c>
      <c r="M875">
        <v>1221</v>
      </c>
      <c r="O875">
        <v>3</v>
      </c>
      <c r="P875">
        <v>1</v>
      </c>
      <c r="Q875" t="s">
        <v>26</v>
      </c>
      <c r="R875">
        <v>3</v>
      </c>
      <c r="S875">
        <v>2741</v>
      </c>
      <c r="T875" t="s">
        <v>21</v>
      </c>
    </row>
    <row r="876" spans="1:20" x14ac:dyDescent="0.25">
      <c r="A876">
        <v>30</v>
      </c>
      <c r="B876" t="str">
        <f t="shared" si="13"/>
        <v>25-34</v>
      </c>
      <c r="C876" t="s">
        <v>21</v>
      </c>
      <c r="F876" t="s">
        <v>17</v>
      </c>
      <c r="G876">
        <v>853</v>
      </c>
      <c r="H876" t="s">
        <v>23</v>
      </c>
      <c r="I876">
        <v>7</v>
      </c>
      <c r="J876">
        <v>4</v>
      </c>
      <c r="K876" t="s">
        <v>19</v>
      </c>
      <c r="L876">
        <v>1</v>
      </c>
      <c r="M876">
        <v>1224</v>
      </c>
      <c r="O876">
        <v>3</v>
      </c>
      <c r="P876">
        <v>2</v>
      </c>
      <c r="Q876" t="s">
        <v>26</v>
      </c>
      <c r="R876">
        <v>3</v>
      </c>
      <c r="S876">
        <v>3491</v>
      </c>
      <c r="T876" t="s">
        <v>21</v>
      </c>
    </row>
    <row r="877" spans="1:20" x14ac:dyDescent="0.25">
      <c r="A877">
        <v>44</v>
      </c>
      <c r="B877" t="str">
        <f t="shared" si="13"/>
        <v>35-44</v>
      </c>
      <c r="C877" t="s">
        <v>21</v>
      </c>
      <c r="F877" t="s">
        <v>17</v>
      </c>
      <c r="G877">
        <v>200</v>
      </c>
      <c r="H877" t="s">
        <v>23</v>
      </c>
      <c r="I877">
        <v>29</v>
      </c>
      <c r="J877">
        <v>4</v>
      </c>
      <c r="K877" t="s">
        <v>25</v>
      </c>
      <c r="L877">
        <v>1</v>
      </c>
      <c r="M877">
        <v>1225</v>
      </c>
      <c r="O877">
        <v>4</v>
      </c>
      <c r="P877">
        <v>2</v>
      </c>
      <c r="Q877" t="s">
        <v>24</v>
      </c>
      <c r="R877">
        <v>4</v>
      </c>
      <c r="S877">
        <v>4541</v>
      </c>
      <c r="T877" t="s">
        <v>21</v>
      </c>
    </row>
    <row r="878" spans="1:20" x14ac:dyDescent="0.25">
      <c r="A878">
        <v>20</v>
      </c>
      <c r="B878" t="str">
        <f t="shared" si="13"/>
        <v>18-24</v>
      </c>
      <c r="C878" t="s">
        <v>21</v>
      </c>
      <c r="F878" t="s">
        <v>17</v>
      </c>
      <c r="G878">
        <v>654</v>
      </c>
      <c r="H878" t="s">
        <v>18</v>
      </c>
      <c r="I878">
        <v>21</v>
      </c>
      <c r="J878">
        <v>3</v>
      </c>
      <c r="K878" t="s">
        <v>34</v>
      </c>
      <c r="L878">
        <v>1</v>
      </c>
      <c r="M878">
        <v>1226</v>
      </c>
      <c r="O878">
        <v>3</v>
      </c>
      <c r="P878">
        <v>1</v>
      </c>
      <c r="Q878" t="s">
        <v>32</v>
      </c>
      <c r="R878">
        <v>4</v>
      </c>
      <c r="S878">
        <v>2678</v>
      </c>
      <c r="T878" t="s">
        <v>21</v>
      </c>
    </row>
    <row r="879" spans="1:20" x14ac:dyDescent="0.25">
      <c r="A879">
        <v>46</v>
      </c>
      <c r="B879" t="str">
        <f t="shared" si="13"/>
        <v>45-54</v>
      </c>
      <c r="C879" t="s">
        <v>21</v>
      </c>
      <c r="F879" t="s">
        <v>17</v>
      </c>
      <c r="G879">
        <v>150</v>
      </c>
      <c r="H879" t="s">
        <v>23</v>
      </c>
      <c r="I879">
        <v>2</v>
      </c>
      <c r="J879">
        <v>4</v>
      </c>
      <c r="K879" t="s">
        <v>35</v>
      </c>
      <c r="L879">
        <v>1</v>
      </c>
      <c r="M879">
        <v>1228</v>
      </c>
      <c r="O879">
        <v>4</v>
      </c>
      <c r="P879">
        <v>2</v>
      </c>
      <c r="Q879" t="s">
        <v>28</v>
      </c>
      <c r="R879">
        <v>4</v>
      </c>
      <c r="S879">
        <v>7379</v>
      </c>
      <c r="T879" t="s">
        <v>21</v>
      </c>
    </row>
    <row r="880" spans="1:20" x14ac:dyDescent="0.25">
      <c r="A880">
        <v>42</v>
      </c>
      <c r="B880" t="str">
        <f t="shared" si="13"/>
        <v>35-44</v>
      </c>
      <c r="C880" t="s">
        <v>21</v>
      </c>
      <c r="F880" t="s">
        <v>30</v>
      </c>
      <c r="G880">
        <v>179</v>
      </c>
      <c r="H880" t="s">
        <v>36</v>
      </c>
      <c r="I880">
        <v>2</v>
      </c>
      <c r="J880">
        <v>5</v>
      </c>
      <c r="K880" t="s">
        <v>27</v>
      </c>
      <c r="L880">
        <v>1</v>
      </c>
      <c r="M880">
        <v>1231</v>
      </c>
      <c r="O880">
        <v>4</v>
      </c>
      <c r="P880">
        <v>2</v>
      </c>
      <c r="Q880" t="s">
        <v>36</v>
      </c>
      <c r="R880">
        <v>1</v>
      </c>
      <c r="S880">
        <v>6272</v>
      </c>
      <c r="T880" t="s">
        <v>21</v>
      </c>
    </row>
    <row r="881" spans="1:20" x14ac:dyDescent="0.25">
      <c r="A881">
        <v>60</v>
      </c>
      <c r="B881" t="str">
        <f t="shared" si="13"/>
        <v>55+</v>
      </c>
      <c r="C881" t="s">
        <v>21</v>
      </c>
      <c r="F881" t="s">
        <v>17</v>
      </c>
      <c r="G881">
        <v>696</v>
      </c>
      <c r="H881" t="s">
        <v>18</v>
      </c>
      <c r="I881">
        <v>7</v>
      </c>
      <c r="J881">
        <v>4</v>
      </c>
      <c r="K881" t="s">
        <v>34</v>
      </c>
      <c r="L881">
        <v>1</v>
      </c>
      <c r="M881">
        <v>1233</v>
      </c>
      <c r="O881">
        <v>2</v>
      </c>
      <c r="P881">
        <v>2</v>
      </c>
      <c r="Q881" t="s">
        <v>20</v>
      </c>
      <c r="R881">
        <v>4</v>
      </c>
      <c r="S881">
        <v>5220</v>
      </c>
      <c r="T881" t="s">
        <v>16</v>
      </c>
    </row>
    <row r="882" spans="1:20" x14ac:dyDescent="0.25">
      <c r="A882">
        <v>32</v>
      </c>
      <c r="B882" t="str">
        <f t="shared" si="13"/>
        <v>25-34</v>
      </c>
      <c r="C882" t="s">
        <v>21</v>
      </c>
      <c r="F882" t="s">
        <v>22</v>
      </c>
      <c r="G882">
        <v>116</v>
      </c>
      <c r="H882" t="s">
        <v>23</v>
      </c>
      <c r="I882">
        <v>13</v>
      </c>
      <c r="J882">
        <v>3</v>
      </c>
      <c r="K882" t="s">
        <v>25</v>
      </c>
      <c r="L882">
        <v>1</v>
      </c>
      <c r="M882">
        <v>1234</v>
      </c>
      <c r="O882">
        <v>3</v>
      </c>
      <c r="P882">
        <v>1</v>
      </c>
      <c r="Q882" t="s">
        <v>26</v>
      </c>
      <c r="R882">
        <v>2</v>
      </c>
      <c r="S882">
        <v>2743</v>
      </c>
      <c r="T882" t="s">
        <v>21</v>
      </c>
    </row>
    <row r="883" spans="1:20" x14ac:dyDescent="0.25">
      <c r="A883">
        <v>32</v>
      </c>
      <c r="B883" t="str">
        <f t="shared" si="13"/>
        <v>25-34</v>
      </c>
      <c r="C883" t="s">
        <v>21</v>
      </c>
      <c r="F883" t="s">
        <v>22</v>
      </c>
      <c r="G883">
        <v>1316</v>
      </c>
      <c r="H883" t="s">
        <v>23</v>
      </c>
      <c r="I883">
        <v>2</v>
      </c>
      <c r="J883">
        <v>2</v>
      </c>
      <c r="K883" t="s">
        <v>19</v>
      </c>
      <c r="L883">
        <v>1</v>
      </c>
      <c r="M883">
        <v>1235</v>
      </c>
      <c r="O883">
        <v>4</v>
      </c>
      <c r="P883">
        <v>2</v>
      </c>
      <c r="Q883" t="s">
        <v>24</v>
      </c>
      <c r="R883">
        <v>3</v>
      </c>
      <c r="S883">
        <v>4998</v>
      </c>
      <c r="T883" t="s">
        <v>16</v>
      </c>
    </row>
    <row r="884" spans="1:20" x14ac:dyDescent="0.25">
      <c r="A884">
        <v>36</v>
      </c>
      <c r="B884" t="str">
        <f t="shared" si="13"/>
        <v>35-44</v>
      </c>
      <c r="C884" t="s">
        <v>21</v>
      </c>
      <c r="F884" t="s">
        <v>17</v>
      </c>
      <c r="G884">
        <v>363</v>
      </c>
      <c r="H884" t="s">
        <v>23</v>
      </c>
      <c r="I884">
        <v>1</v>
      </c>
      <c r="J884">
        <v>3</v>
      </c>
      <c r="K884" t="s">
        <v>35</v>
      </c>
      <c r="L884">
        <v>1</v>
      </c>
      <c r="M884">
        <v>1237</v>
      </c>
      <c r="O884">
        <v>3</v>
      </c>
      <c r="P884">
        <v>3</v>
      </c>
      <c r="Q884" t="s">
        <v>28</v>
      </c>
      <c r="R884">
        <v>1</v>
      </c>
      <c r="S884">
        <v>10252</v>
      </c>
      <c r="T884" t="s">
        <v>16</v>
      </c>
    </row>
    <row r="885" spans="1:20" x14ac:dyDescent="0.25">
      <c r="A885">
        <v>33</v>
      </c>
      <c r="B885" t="str">
        <f t="shared" si="13"/>
        <v>25-34</v>
      </c>
      <c r="C885" t="s">
        <v>21</v>
      </c>
      <c r="F885" t="s">
        <v>17</v>
      </c>
      <c r="G885">
        <v>117</v>
      </c>
      <c r="H885" t="s">
        <v>23</v>
      </c>
      <c r="I885">
        <v>9</v>
      </c>
      <c r="J885">
        <v>3</v>
      </c>
      <c r="K885" t="s">
        <v>27</v>
      </c>
      <c r="L885">
        <v>1</v>
      </c>
      <c r="M885">
        <v>1238</v>
      </c>
      <c r="O885">
        <v>1</v>
      </c>
      <c r="P885">
        <v>1</v>
      </c>
      <c r="Q885" t="s">
        <v>24</v>
      </c>
      <c r="R885">
        <v>4</v>
      </c>
      <c r="S885">
        <v>2781</v>
      </c>
      <c r="T885" t="s">
        <v>21</v>
      </c>
    </row>
    <row r="886" spans="1:20" x14ac:dyDescent="0.25">
      <c r="A886">
        <v>40</v>
      </c>
      <c r="B886" t="str">
        <f t="shared" si="13"/>
        <v>35-44</v>
      </c>
      <c r="C886" t="s">
        <v>21</v>
      </c>
      <c r="F886" t="s">
        <v>17</v>
      </c>
      <c r="G886">
        <v>107</v>
      </c>
      <c r="H886" t="s">
        <v>18</v>
      </c>
      <c r="I886">
        <v>10</v>
      </c>
      <c r="J886">
        <v>3</v>
      </c>
      <c r="K886" t="s">
        <v>35</v>
      </c>
      <c r="L886">
        <v>1</v>
      </c>
      <c r="M886">
        <v>1239</v>
      </c>
      <c r="O886">
        <v>2</v>
      </c>
      <c r="P886">
        <v>2</v>
      </c>
      <c r="Q886" t="s">
        <v>20</v>
      </c>
      <c r="R886">
        <v>2</v>
      </c>
      <c r="S886">
        <v>6852</v>
      </c>
      <c r="T886" t="s">
        <v>21</v>
      </c>
    </row>
    <row r="887" spans="1:20" x14ac:dyDescent="0.25">
      <c r="A887">
        <v>25</v>
      </c>
      <c r="B887" t="str">
        <f t="shared" si="13"/>
        <v>25-34</v>
      </c>
      <c r="C887" t="s">
        <v>21</v>
      </c>
      <c r="F887" t="s">
        <v>17</v>
      </c>
      <c r="G887">
        <v>1356</v>
      </c>
      <c r="H887" t="s">
        <v>18</v>
      </c>
      <c r="I887">
        <v>10</v>
      </c>
      <c r="J887">
        <v>4</v>
      </c>
      <c r="K887" t="s">
        <v>19</v>
      </c>
      <c r="L887">
        <v>1</v>
      </c>
      <c r="M887">
        <v>1240</v>
      </c>
      <c r="O887">
        <v>3</v>
      </c>
      <c r="P887">
        <v>2</v>
      </c>
      <c r="Q887" t="s">
        <v>20</v>
      </c>
      <c r="R887">
        <v>4</v>
      </c>
      <c r="S887">
        <v>4950</v>
      </c>
      <c r="T887" t="s">
        <v>21</v>
      </c>
    </row>
    <row r="888" spans="1:20" x14ac:dyDescent="0.25">
      <c r="A888">
        <v>30</v>
      </c>
      <c r="B888" t="str">
        <f t="shared" si="13"/>
        <v>25-34</v>
      </c>
      <c r="C888" t="s">
        <v>21</v>
      </c>
      <c r="F888" t="s">
        <v>17</v>
      </c>
      <c r="G888">
        <v>1465</v>
      </c>
      <c r="H888" t="s">
        <v>23</v>
      </c>
      <c r="I888">
        <v>1</v>
      </c>
      <c r="J888">
        <v>3</v>
      </c>
      <c r="K888" t="s">
        <v>27</v>
      </c>
      <c r="L888">
        <v>1</v>
      </c>
      <c r="M888">
        <v>1241</v>
      </c>
      <c r="O888">
        <v>4</v>
      </c>
      <c r="P888">
        <v>1</v>
      </c>
      <c r="Q888" t="s">
        <v>24</v>
      </c>
      <c r="R888">
        <v>2</v>
      </c>
      <c r="S888">
        <v>3579</v>
      </c>
      <c r="T888" t="s">
        <v>16</v>
      </c>
    </row>
    <row r="889" spans="1:20" x14ac:dyDescent="0.25">
      <c r="A889">
        <v>42</v>
      </c>
      <c r="B889" t="str">
        <f t="shared" si="13"/>
        <v>35-44</v>
      </c>
      <c r="C889" t="s">
        <v>21</v>
      </c>
      <c r="F889" t="s">
        <v>22</v>
      </c>
      <c r="G889">
        <v>458</v>
      </c>
      <c r="H889" t="s">
        <v>23</v>
      </c>
      <c r="I889">
        <v>26</v>
      </c>
      <c r="J889">
        <v>5</v>
      </c>
      <c r="K889" t="s">
        <v>27</v>
      </c>
      <c r="L889">
        <v>1</v>
      </c>
      <c r="M889">
        <v>1242</v>
      </c>
      <c r="O889">
        <v>1</v>
      </c>
      <c r="P889">
        <v>3</v>
      </c>
      <c r="Q889" t="s">
        <v>33</v>
      </c>
      <c r="R889">
        <v>1</v>
      </c>
      <c r="S889">
        <v>13191</v>
      </c>
      <c r="T889" t="s">
        <v>16</v>
      </c>
    </row>
    <row r="890" spans="1:20" x14ac:dyDescent="0.25">
      <c r="A890">
        <v>35</v>
      </c>
      <c r="B890" t="str">
        <f t="shared" si="13"/>
        <v>35-44</v>
      </c>
      <c r="C890" t="s">
        <v>21</v>
      </c>
      <c r="F890" t="s">
        <v>30</v>
      </c>
      <c r="G890">
        <v>1212</v>
      </c>
      <c r="H890" t="s">
        <v>18</v>
      </c>
      <c r="I890">
        <v>8</v>
      </c>
      <c r="J890">
        <v>2</v>
      </c>
      <c r="K890" t="s">
        <v>34</v>
      </c>
      <c r="L890">
        <v>1</v>
      </c>
      <c r="M890">
        <v>1243</v>
      </c>
      <c r="O890">
        <v>3</v>
      </c>
      <c r="P890">
        <v>3</v>
      </c>
      <c r="Q890" t="s">
        <v>20</v>
      </c>
      <c r="R890">
        <v>4</v>
      </c>
      <c r="S890">
        <v>10377</v>
      </c>
      <c r="T890" t="s">
        <v>16</v>
      </c>
    </row>
    <row r="891" spans="1:20" x14ac:dyDescent="0.25">
      <c r="A891">
        <v>27</v>
      </c>
      <c r="B891" t="str">
        <f t="shared" si="13"/>
        <v>25-34</v>
      </c>
      <c r="C891" t="s">
        <v>21</v>
      </c>
      <c r="F891" t="s">
        <v>17</v>
      </c>
      <c r="G891">
        <v>1103</v>
      </c>
      <c r="H891" t="s">
        <v>23</v>
      </c>
      <c r="I891">
        <v>14</v>
      </c>
      <c r="J891">
        <v>3</v>
      </c>
      <c r="K891" t="s">
        <v>19</v>
      </c>
      <c r="L891">
        <v>1</v>
      </c>
      <c r="M891">
        <v>1244</v>
      </c>
      <c r="O891">
        <v>1</v>
      </c>
      <c r="P891">
        <v>1</v>
      </c>
      <c r="Q891" t="s">
        <v>24</v>
      </c>
      <c r="R891">
        <v>1</v>
      </c>
      <c r="S891">
        <v>2235</v>
      </c>
      <c r="T891" t="s">
        <v>16</v>
      </c>
    </row>
    <row r="892" spans="1:20" x14ac:dyDescent="0.25">
      <c r="A892">
        <v>54</v>
      </c>
      <c r="B892" t="str">
        <f t="shared" si="13"/>
        <v>45-54</v>
      </c>
      <c r="C892" t="s">
        <v>21</v>
      </c>
      <c r="F892" t="s">
        <v>22</v>
      </c>
      <c r="G892">
        <v>966</v>
      </c>
      <c r="H892" t="s">
        <v>23</v>
      </c>
      <c r="I892">
        <v>1</v>
      </c>
      <c r="J892">
        <v>4</v>
      </c>
      <c r="K892" t="s">
        <v>19</v>
      </c>
      <c r="L892">
        <v>1</v>
      </c>
      <c r="M892">
        <v>1245</v>
      </c>
      <c r="O892">
        <v>4</v>
      </c>
      <c r="P892">
        <v>3</v>
      </c>
      <c r="Q892" t="s">
        <v>28</v>
      </c>
      <c r="R892">
        <v>3</v>
      </c>
      <c r="S892">
        <v>10502</v>
      </c>
      <c r="T892" t="s">
        <v>21</v>
      </c>
    </row>
    <row r="893" spans="1:20" x14ac:dyDescent="0.25">
      <c r="A893">
        <v>44</v>
      </c>
      <c r="B893" t="str">
        <f t="shared" si="13"/>
        <v>35-44</v>
      </c>
      <c r="C893" t="s">
        <v>21</v>
      </c>
      <c r="F893" t="s">
        <v>17</v>
      </c>
      <c r="G893">
        <v>1117</v>
      </c>
      <c r="H893" t="s">
        <v>23</v>
      </c>
      <c r="I893">
        <v>2</v>
      </c>
      <c r="J893">
        <v>1</v>
      </c>
      <c r="K893" t="s">
        <v>19</v>
      </c>
      <c r="L893">
        <v>1</v>
      </c>
      <c r="M893">
        <v>1246</v>
      </c>
      <c r="O893">
        <v>1</v>
      </c>
      <c r="P893">
        <v>1</v>
      </c>
      <c r="Q893" t="s">
        <v>24</v>
      </c>
      <c r="R893">
        <v>4</v>
      </c>
      <c r="S893">
        <v>2011</v>
      </c>
      <c r="T893" t="s">
        <v>21</v>
      </c>
    </row>
    <row r="894" spans="1:20" x14ac:dyDescent="0.25">
      <c r="A894">
        <v>19</v>
      </c>
      <c r="B894" t="str">
        <f t="shared" si="13"/>
        <v>18-24</v>
      </c>
      <c r="C894" t="s">
        <v>16</v>
      </c>
      <c r="F894" t="s">
        <v>30</v>
      </c>
      <c r="G894">
        <v>504</v>
      </c>
      <c r="H894" t="s">
        <v>23</v>
      </c>
      <c r="I894">
        <v>10</v>
      </c>
      <c r="J894">
        <v>3</v>
      </c>
      <c r="K894" t="s">
        <v>27</v>
      </c>
      <c r="L894">
        <v>1</v>
      </c>
      <c r="M894">
        <v>1248</v>
      </c>
      <c r="O894">
        <v>1</v>
      </c>
      <c r="P894">
        <v>1</v>
      </c>
      <c r="Q894" t="s">
        <v>24</v>
      </c>
      <c r="R894">
        <v>2</v>
      </c>
      <c r="S894">
        <v>1859</v>
      </c>
      <c r="T894" t="s">
        <v>16</v>
      </c>
    </row>
    <row r="895" spans="1:20" x14ac:dyDescent="0.25">
      <c r="A895">
        <v>29</v>
      </c>
      <c r="B895" t="str">
        <f t="shared" si="13"/>
        <v>25-34</v>
      </c>
      <c r="C895" t="s">
        <v>21</v>
      </c>
      <c r="F895" t="s">
        <v>17</v>
      </c>
      <c r="G895">
        <v>1010</v>
      </c>
      <c r="H895" t="s">
        <v>23</v>
      </c>
      <c r="I895">
        <v>1</v>
      </c>
      <c r="J895">
        <v>3</v>
      </c>
      <c r="K895" t="s">
        <v>19</v>
      </c>
      <c r="L895">
        <v>1</v>
      </c>
      <c r="M895">
        <v>1249</v>
      </c>
      <c r="O895">
        <v>1</v>
      </c>
      <c r="P895">
        <v>1</v>
      </c>
      <c r="Q895" t="s">
        <v>24</v>
      </c>
      <c r="R895">
        <v>4</v>
      </c>
      <c r="S895">
        <v>3760</v>
      </c>
      <c r="T895" t="s">
        <v>21</v>
      </c>
    </row>
    <row r="896" spans="1:20" x14ac:dyDescent="0.25">
      <c r="A896">
        <v>54</v>
      </c>
      <c r="B896" t="str">
        <f t="shared" si="13"/>
        <v>45-54</v>
      </c>
      <c r="C896" t="s">
        <v>21</v>
      </c>
      <c r="F896" t="s">
        <v>17</v>
      </c>
      <c r="G896">
        <v>685</v>
      </c>
      <c r="H896" t="s">
        <v>23</v>
      </c>
      <c r="I896">
        <v>3</v>
      </c>
      <c r="J896">
        <v>3</v>
      </c>
      <c r="K896" t="s">
        <v>19</v>
      </c>
      <c r="L896">
        <v>1</v>
      </c>
      <c r="M896">
        <v>1250</v>
      </c>
      <c r="O896">
        <v>4</v>
      </c>
      <c r="P896">
        <v>4</v>
      </c>
      <c r="Q896" t="s">
        <v>33</v>
      </c>
      <c r="R896">
        <v>4</v>
      </c>
      <c r="S896">
        <v>17779</v>
      </c>
      <c r="T896" t="s">
        <v>21</v>
      </c>
    </row>
    <row r="897" spans="1:20" x14ac:dyDescent="0.25">
      <c r="A897">
        <v>31</v>
      </c>
      <c r="B897" t="str">
        <f t="shared" si="13"/>
        <v>25-34</v>
      </c>
      <c r="C897" t="s">
        <v>21</v>
      </c>
      <c r="F897" t="s">
        <v>17</v>
      </c>
      <c r="G897">
        <v>1332</v>
      </c>
      <c r="H897" t="s">
        <v>23</v>
      </c>
      <c r="I897">
        <v>11</v>
      </c>
      <c r="J897">
        <v>2</v>
      </c>
      <c r="K897" t="s">
        <v>27</v>
      </c>
      <c r="L897">
        <v>1</v>
      </c>
      <c r="M897">
        <v>1251</v>
      </c>
      <c r="O897">
        <v>3</v>
      </c>
      <c r="P897">
        <v>2</v>
      </c>
      <c r="Q897" t="s">
        <v>29</v>
      </c>
      <c r="R897">
        <v>1</v>
      </c>
      <c r="S897">
        <v>6833</v>
      </c>
      <c r="T897" t="s">
        <v>16</v>
      </c>
    </row>
    <row r="898" spans="1:20" x14ac:dyDescent="0.25">
      <c r="A898">
        <v>31</v>
      </c>
      <c r="B898" t="str">
        <f t="shared" si="13"/>
        <v>25-34</v>
      </c>
      <c r="C898" t="s">
        <v>21</v>
      </c>
      <c r="F898" t="s">
        <v>17</v>
      </c>
      <c r="G898">
        <v>1062</v>
      </c>
      <c r="H898" t="s">
        <v>23</v>
      </c>
      <c r="I898">
        <v>24</v>
      </c>
      <c r="J898">
        <v>3</v>
      </c>
      <c r="K898" t="s">
        <v>27</v>
      </c>
      <c r="L898">
        <v>1</v>
      </c>
      <c r="M898">
        <v>1252</v>
      </c>
      <c r="O898">
        <v>3</v>
      </c>
      <c r="P898">
        <v>2</v>
      </c>
      <c r="Q898" t="s">
        <v>29</v>
      </c>
      <c r="R898">
        <v>1</v>
      </c>
      <c r="S898">
        <v>6812</v>
      </c>
      <c r="T898" t="s">
        <v>21</v>
      </c>
    </row>
    <row r="899" spans="1:20" x14ac:dyDescent="0.25">
      <c r="A899">
        <v>59</v>
      </c>
      <c r="B899" t="str">
        <f t="shared" ref="B899:B962" si="14">IF(A899&lt;=24,"18-24",IF(A899&lt;=34,"25-34",IF(A899&lt;=44,"35-44",IF(A899&lt;=54,"45-54","55+"))))</f>
        <v>55+</v>
      </c>
      <c r="C899" t="s">
        <v>21</v>
      </c>
      <c r="F899" t="s">
        <v>17</v>
      </c>
      <c r="G899">
        <v>326</v>
      </c>
      <c r="H899" t="s">
        <v>18</v>
      </c>
      <c r="I899">
        <v>3</v>
      </c>
      <c r="J899">
        <v>3</v>
      </c>
      <c r="K899" t="s">
        <v>19</v>
      </c>
      <c r="L899">
        <v>1</v>
      </c>
      <c r="M899">
        <v>1254</v>
      </c>
      <c r="O899">
        <v>3</v>
      </c>
      <c r="P899">
        <v>2</v>
      </c>
      <c r="Q899" t="s">
        <v>20</v>
      </c>
      <c r="R899">
        <v>4</v>
      </c>
      <c r="S899">
        <v>5171</v>
      </c>
      <c r="T899" t="s">
        <v>21</v>
      </c>
    </row>
    <row r="900" spans="1:20" x14ac:dyDescent="0.25">
      <c r="A900">
        <v>43</v>
      </c>
      <c r="B900" t="str">
        <f t="shared" si="14"/>
        <v>35-44</v>
      </c>
      <c r="C900" t="s">
        <v>21</v>
      </c>
      <c r="F900" t="s">
        <v>17</v>
      </c>
      <c r="G900">
        <v>920</v>
      </c>
      <c r="H900" t="s">
        <v>23</v>
      </c>
      <c r="I900">
        <v>3</v>
      </c>
      <c r="J900">
        <v>3</v>
      </c>
      <c r="K900" t="s">
        <v>19</v>
      </c>
      <c r="L900">
        <v>1</v>
      </c>
      <c r="M900">
        <v>1255</v>
      </c>
      <c r="O900">
        <v>3</v>
      </c>
      <c r="P900">
        <v>5</v>
      </c>
      <c r="Q900" t="s">
        <v>33</v>
      </c>
      <c r="R900">
        <v>4</v>
      </c>
      <c r="S900">
        <v>19740</v>
      </c>
      <c r="T900" t="s">
        <v>21</v>
      </c>
    </row>
    <row r="901" spans="1:20" x14ac:dyDescent="0.25">
      <c r="A901">
        <v>49</v>
      </c>
      <c r="B901" t="str">
        <f t="shared" si="14"/>
        <v>45-54</v>
      </c>
      <c r="C901" t="s">
        <v>21</v>
      </c>
      <c r="F901" t="s">
        <v>17</v>
      </c>
      <c r="G901">
        <v>1098</v>
      </c>
      <c r="H901" t="s">
        <v>23</v>
      </c>
      <c r="I901">
        <v>4</v>
      </c>
      <c r="J901">
        <v>2</v>
      </c>
      <c r="K901" t="s">
        <v>27</v>
      </c>
      <c r="L901">
        <v>1</v>
      </c>
      <c r="M901">
        <v>1256</v>
      </c>
      <c r="O901">
        <v>1</v>
      </c>
      <c r="P901">
        <v>5</v>
      </c>
      <c r="Q901" t="s">
        <v>31</v>
      </c>
      <c r="R901">
        <v>3</v>
      </c>
      <c r="S901">
        <v>18711</v>
      </c>
      <c r="T901" t="s">
        <v>21</v>
      </c>
    </row>
    <row r="902" spans="1:20" x14ac:dyDescent="0.25">
      <c r="A902">
        <v>36</v>
      </c>
      <c r="B902" t="str">
        <f t="shared" si="14"/>
        <v>35-44</v>
      </c>
      <c r="C902" t="s">
        <v>21</v>
      </c>
      <c r="F902" t="s">
        <v>22</v>
      </c>
      <c r="G902">
        <v>469</v>
      </c>
      <c r="H902" t="s">
        <v>23</v>
      </c>
      <c r="I902">
        <v>3</v>
      </c>
      <c r="J902">
        <v>3</v>
      </c>
      <c r="K902" t="s">
        <v>35</v>
      </c>
      <c r="L902">
        <v>1</v>
      </c>
      <c r="M902">
        <v>1257</v>
      </c>
      <c r="O902">
        <v>3</v>
      </c>
      <c r="P902">
        <v>1</v>
      </c>
      <c r="Q902" t="s">
        <v>24</v>
      </c>
      <c r="R902">
        <v>2</v>
      </c>
      <c r="S902">
        <v>3692</v>
      </c>
      <c r="T902" t="s">
        <v>21</v>
      </c>
    </row>
    <row r="903" spans="1:20" x14ac:dyDescent="0.25">
      <c r="A903">
        <v>48</v>
      </c>
      <c r="B903" t="str">
        <f t="shared" si="14"/>
        <v>45-54</v>
      </c>
      <c r="C903" t="s">
        <v>21</v>
      </c>
      <c r="F903" t="s">
        <v>17</v>
      </c>
      <c r="G903">
        <v>969</v>
      </c>
      <c r="H903" t="s">
        <v>23</v>
      </c>
      <c r="I903">
        <v>2</v>
      </c>
      <c r="J903">
        <v>2</v>
      </c>
      <c r="K903" t="s">
        <v>35</v>
      </c>
      <c r="L903">
        <v>1</v>
      </c>
      <c r="M903">
        <v>1258</v>
      </c>
      <c r="O903">
        <v>4</v>
      </c>
      <c r="P903">
        <v>1</v>
      </c>
      <c r="Q903" t="s">
        <v>26</v>
      </c>
      <c r="R903">
        <v>2</v>
      </c>
      <c r="S903">
        <v>2559</v>
      </c>
      <c r="T903" t="s">
        <v>21</v>
      </c>
    </row>
    <row r="904" spans="1:20" x14ac:dyDescent="0.25">
      <c r="A904">
        <v>27</v>
      </c>
      <c r="B904" t="str">
        <f t="shared" si="14"/>
        <v>25-34</v>
      </c>
      <c r="C904" t="s">
        <v>21</v>
      </c>
      <c r="F904" t="s">
        <v>17</v>
      </c>
      <c r="G904">
        <v>1167</v>
      </c>
      <c r="H904" t="s">
        <v>23</v>
      </c>
      <c r="I904">
        <v>4</v>
      </c>
      <c r="J904">
        <v>2</v>
      </c>
      <c r="K904" t="s">
        <v>19</v>
      </c>
      <c r="L904">
        <v>1</v>
      </c>
      <c r="M904">
        <v>1259</v>
      </c>
      <c r="O904">
        <v>1</v>
      </c>
      <c r="P904">
        <v>1</v>
      </c>
      <c r="Q904" t="s">
        <v>24</v>
      </c>
      <c r="R904">
        <v>3</v>
      </c>
      <c r="S904">
        <v>2517</v>
      </c>
      <c r="T904" t="s">
        <v>21</v>
      </c>
    </row>
    <row r="905" spans="1:20" x14ac:dyDescent="0.25">
      <c r="A905">
        <v>29</v>
      </c>
      <c r="B905" t="str">
        <f t="shared" si="14"/>
        <v>25-34</v>
      </c>
      <c r="C905" t="s">
        <v>21</v>
      </c>
      <c r="F905" t="s">
        <v>17</v>
      </c>
      <c r="G905">
        <v>1329</v>
      </c>
      <c r="H905" t="s">
        <v>23</v>
      </c>
      <c r="I905">
        <v>7</v>
      </c>
      <c r="J905">
        <v>3</v>
      </c>
      <c r="K905" t="s">
        <v>19</v>
      </c>
      <c r="L905">
        <v>1</v>
      </c>
      <c r="M905">
        <v>1260</v>
      </c>
      <c r="O905">
        <v>3</v>
      </c>
      <c r="P905">
        <v>2</v>
      </c>
      <c r="Q905" t="s">
        <v>29</v>
      </c>
      <c r="R905">
        <v>4</v>
      </c>
      <c r="S905">
        <v>6623</v>
      </c>
      <c r="T905" t="s">
        <v>16</v>
      </c>
    </row>
    <row r="906" spans="1:20" x14ac:dyDescent="0.25">
      <c r="A906">
        <v>48</v>
      </c>
      <c r="B906" t="str">
        <f t="shared" si="14"/>
        <v>45-54</v>
      </c>
      <c r="C906" t="s">
        <v>21</v>
      </c>
      <c r="F906" t="s">
        <v>17</v>
      </c>
      <c r="G906">
        <v>715</v>
      </c>
      <c r="H906" t="s">
        <v>23</v>
      </c>
      <c r="I906">
        <v>1</v>
      </c>
      <c r="J906">
        <v>3</v>
      </c>
      <c r="K906" t="s">
        <v>19</v>
      </c>
      <c r="L906">
        <v>1</v>
      </c>
      <c r="M906">
        <v>1263</v>
      </c>
      <c r="O906">
        <v>4</v>
      </c>
      <c r="P906">
        <v>5</v>
      </c>
      <c r="Q906" t="s">
        <v>33</v>
      </c>
      <c r="R906">
        <v>4</v>
      </c>
      <c r="S906">
        <v>18265</v>
      </c>
      <c r="T906" t="s">
        <v>21</v>
      </c>
    </row>
    <row r="907" spans="1:20" x14ac:dyDescent="0.25">
      <c r="A907">
        <v>29</v>
      </c>
      <c r="B907" t="str">
        <f t="shared" si="14"/>
        <v>25-34</v>
      </c>
      <c r="C907" t="s">
        <v>21</v>
      </c>
      <c r="F907" t="s">
        <v>17</v>
      </c>
      <c r="G907">
        <v>694</v>
      </c>
      <c r="H907" t="s">
        <v>23</v>
      </c>
      <c r="I907">
        <v>1</v>
      </c>
      <c r="J907">
        <v>3</v>
      </c>
      <c r="K907" t="s">
        <v>19</v>
      </c>
      <c r="L907">
        <v>1</v>
      </c>
      <c r="M907">
        <v>1264</v>
      </c>
      <c r="O907">
        <v>4</v>
      </c>
      <c r="P907">
        <v>4</v>
      </c>
      <c r="Q907" t="s">
        <v>33</v>
      </c>
      <c r="R907">
        <v>4</v>
      </c>
      <c r="S907">
        <v>16124</v>
      </c>
      <c r="T907" t="s">
        <v>21</v>
      </c>
    </row>
    <row r="908" spans="1:20" x14ac:dyDescent="0.25">
      <c r="A908">
        <v>34</v>
      </c>
      <c r="B908" t="str">
        <f t="shared" si="14"/>
        <v>25-34</v>
      </c>
      <c r="C908" t="s">
        <v>21</v>
      </c>
      <c r="F908" t="s">
        <v>17</v>
      </c>
      <c r="G908">
        <v>1320</v>
      </c>
      <c r="H908" t="s">
        <v>23</v>
      </c>
      <c r="I908">
        <v>20</v>
      </c>
      <c r="J908">
        <v>3</v>
      </c>
      <c r="K908" t="s">
        <v>35</v>
      </c>
      <c r="L908">
        <v>1</v>
      </c>
      <c r="M908">
        <v>1265</v>
      </c>
      <c r="O908">
        <v>3</v>
      </c>
      <c r="P908">
        <v>1</v>
      </c>
      <c r="Q908" t="s">
        <v>24</v>
      </c>
      <c r="R908">
        <v>3</v>
      </c>
      <c r="S908">
        <v>2585</v>
      </c>
      <c r="T908" t="s">
        <v>21</v>
      </c>
    </row>
    <row r="909" spans="1:20" x14ac:dyDescent="0.25">
      <c r="A909">
        <v>44</v>
      </c>
      <c r="B909" t="str">
        <f t="shared" si="14"/>
        <v>35-44</v>
      </c>
      <c r="C909" t="s">
        <v>21</v>
      </c>
      <c r="F909" t="s">
        <v>17</v>
      </c>
      <c r="G909">
        <v>1099</v>
      </c>
      <c r="H909" t="s">
        <v>18</v>
      </c>
      <c r="I909">
        <v>5</v>
      </c>
      <c r="J909">
        <v>3</v>
      </c>
      <c r="K909" t="s">
        <v>34</v>
      </c>
      <c r="L909">
        <v>1</v>
      </c>
      <c r="M909">
        <v>1267</v>
      </c>
      <c r="O909">
        <v>2</v>
      </c>
      <c r="P909">
        <v>5</v>
      </c>
      <c r="Q909" t="s">
        <v>31</v>
      </c>
      <c r="R909">
        <v>2</v>
      </c>
      <c r="S909">
        <v>18213</v>
      </c>
      <c r="T909" t="s">
        <v>21</v>
      </c>
    </row>
    <row r="910" spans="1:20" x14ac:dyDescent="0.25">
      <c r="A910">
        <v>33</v>
      </c>
      <c r="B910" t="str">
        <f t="shared" si="14"/>
        <v>25-34</v>
      </c>
      <c r="C910" t="s">
        <v>21</v>
      </c>
      <c r="F910" t="s">
        <v>17</v>
      </c>
      <c r="G910">
        <v>536</v>
      </c>
      <c r="H910" t="s">
        <v>18</v>
      </c>
      <c r="I910">
        <v>10</v>
      </c>
      <c r="J910">
        <v>5</v>
      </c>
      <c r="K910" t="s">
        <v>34</v>
      </c>
      <c r="L910">
        <v>1</v>
      </c>
      <c r="M910">
        <v>1268</v>
      </c>
      <c r="O910">
        <v>4</v>
      </c>
      <c r="P910">
        <v>3</v>
      </c>
      <c r="Q910" t="s">
        <v>20</v>
      </c>
      <c r="R910">
        <v>3</v>
      </c>
      <c r="S910">
        <v>8380</v>
      </c>
      <c r="T910" t="s">
        <v>16</v>
      </c>
    </row>
    <row r="911" spans="1:20" x14ac:dyDescent="0.25">
      <c r="A911">
        <v>19</v>
      </c>
      <c r="B911" t="str">
        <f t="shared" si="14"/>
        <v>18-24</v>
      </c>
      <c r="C911" t="s">
        <v>21</v>
      </c>
      <c r="F911" t="s">
        <v>17</v>
      </c>
      <c r="G911">
        <v>265</v>
      </c>
      <c r="H911" t="s">
        <v>23</v>
      </c>
      <c r="I911">
        <v>25</v>
      </c>
      <c r="J911">
        <v>3</v>
      </c>
      <c r="K911" t="s">
        <v>19</v>
      </c>
      <c r="L911">
        <v>1</v>
      </c>
      <c r="M911">
        <v>1269</v>
      </c>
      <c r="O911">
        <v>2</v>
      </c>
      <c r="P911">
        <v>1</v>
      </c>
      <c r="Q911" t="s">
        <v>24</v>
      </c>
      <c r="R911">
        <v>4</v>
      </c>
      <c r="S911">
        <v>2994</v>
      </c>
      <c r="T911" t="s">
        <v>16</v>
      </c>
    </row>
    <row r="912" spans="1:20" x14ac:dyDescent="0.25">
      <c r="A912">
        <v>23</v>
      </c>
      <c r="B912" t="str">
        <f t="shared" si="14"/>
        <v>18-24</v>
      </c>
      <c r="C912" t="s">
        <v>21</v>
      </c>
      <c r="F912" t="s">
        <v>17</v>
      </c>
      <c r="G912">
        <v>373</v>
      </c>
      <c r="H912" t="s">
        <v>23</v>
      </c>
      <c r="I912">
        <v>1</v>
      </c>
      <c r="J912">
        <v>2</v>
      </c>
      <c r="K912" t="s">
        <v>19</v>
      </c>
      <c r="L912">
        <v>1</v>
      </c>
      <c r="M912">
        <v>1270</v>
      </c>
      <c r="O912">
        <v>4</v>
      </c>
      <c r="P912">
        <v>1</v>
      </c>
      <c r="Q912" t="s">
        <v>24</v>
      </c>
      <c r="R912">
        <v>3</v>
      </c>
      <c r="S912">
        <v>1223</v>
      </c>
      <c r="T912" t="s">
        <v>21</v>
      </c>
    </row>
    <row r="913" spans="1:20" x14ac:dyDescent="0.25">
      <c r="A913">
        <v>25</v>
      </c>
      <c r="B913" t="str">
        <f t="shared" si="14"/>
        <v>25-34</v>
      </c>
      <c r="C913" t="s">
        <v>16</v>
      </c>
      <c r="F913" t="s">
        <v>22</v>
      </c>
      <c r="G913">
        <v>599</v>
      </c>
      <c r="H913" t="s">
        <v>18</v>
      </c>
      <c r="I913">
        <v>24</v>
      </c>
      <c r="J913">
        <v>1</v>
      </c>
      <c r="K913" t="s">
        <v>19</v>
      </c>
      <c r="L913">
        <v>1</v>
      </c>
      <c r="M913">
        <v>1273</v>
      </c>
      <c r="O913">
        <v>3</v>
      </c>
      <c r="P913">
        <v>1</v>
      </c>
      <c r="Q913" t="s">
        <v>32</v>
      </c>
      <c r="R913">
        <v>4</v>
      </c>
      <c r="S913">
        <v>1118</v>
      </c>
      <c r="T913" t="s">
        <v>16</v>
      </c>
    </row>
    <row r="914" spans="1:20" x14ac:dyDescent="0.25">
      <c r="A914">
        <v>26</v>
      </c>
      <c r="B914" t="str">
        <f t="shared" si="14"/>
        <v>25-34</v>
      </c>
      <c r="C914" t="s">
        <v>21</v>
      </c>
      <c r="F914" t="s">
        <v>17</v>
      </c>
      <c r="G914">
        <v>583</v>
      </c>
      <c r="H914" t="s">
        <v>23</v>
      </c>
      <c r="I914">
        <v>4</v>
      </c>
      <c r="J914">
        <v>2</v>
      </c>
      <c r="K914" t="s">
        <v>19</v>
      </c>
      <c r="L914">
        <v>1</v>
      </c>
      <c r="M914">
        <v>1275</v>
      </c>
      <c r="O914">
        <v>3</v>
      </c>
      <c r="P914">
        <v>1</v>
      </c>
      <c r="Q914" t="s">
        <v>24</v>
      </c>
      <c r="R914">
        <v>4</v>
      </c>
      <c r="S914">
        <v>2875</v>
      </c>
      <c r="T914" t="s">
        <v>16</v>
      </c>
    </row>
    <row r="915" spans="1:20" x14ac:dyDescent="0.25">
      <c r="A915">
        <v>45</v>
      </c>
      <c r="B915" t="str">
        <f t="shared" si="14"/>
        <v>45-54</v>
      </c>
      <c r="C915" t="s">
        <v>16</v>
      </c>
      <c r="F915" t="s">
        <v>17</v>
      </c>
      <c r="G915">
        <v>1449</v>
      </c>
      <c r="H915" t="s">
        <v>18</v>
      </c>
      <c r="I915">
        <v>2</v>
      </c>
      <c r="J915">
        <v>3</v>
      </c>
      <c r="K915" t="s">
        <v>34</v>
      </c>
      <c r="L915">
        <v>1</v>
      </c>
      <c r="M915">
        <v>1277</v>
      </c>
      <c r="O915">
        <v>1</v>
      </c>
      <c r="P915">
        <v>5</v>
      </c>
      <c r="Q915" t="s">
        <v>31</v>
      </c>
      <c r="R915">
        <v>2</v>
      </c>
      <c r="S915">
        <v>18824</v>
      </c>
      <c r="T915" t="s">
        <v>16</v>
      </c>
    </row>
    <row r="916" spans="1:20" x14ac:dyDescent="0.25">
      <c r="A916">
        <v>55</v>
      </c>
      <c r="B916" t="str">
        <f t="shared" si="14"/>
        <v>55+</v>
      </c>
      <c r="C916" t="s">
        <v>21</v>
      </c>
      <c r="F916" t="s">
        <v>30</v>
      </c>
      <c r="G916">
        <v>177</v>
      </c>
      <c r="H916" t="s">
        <v>23</v>
      </c>
      <c r="I916">
        <v>8</v>
      </c>
      <c r="J916">
        <v>1</v>
      </c>
      <c r="K916" t="s">
        <v>27</v>
      </c>
      <c r="L916">
        <v>1</v>
      </c>
      <c r="M916">
        <v>1278</v>
      </c>
      <c r="O916">
        <v>4</v>
      </c>
      <c r="P916">
        <v>4</v>
      </c>
      <c r="Q916" t="s">
        <v>29</v>
      </c>
      <c r="R916">
        <v>2</v>
      </c>
      <c r="S916">
        <v>13577</v>
      </c>
      <c r="T916" t="s">
        <v>16</v>
      </c>
    </row>
    <row r="917" spans="1:20" x14ac:dyDescent="0.25">
      <c r="A917">
        <v>21</v>
      </c>
      <c r="B917" t="str">
        <f t="shared" si="14"/>
        <v>18-24</v>
      </c>
      <c r="C917" t="s">
        <v>16</v>
      </c>
      <c r="F917" t="s">
        <v>22</v>
      </c>
      <c r="G917">
        <v>251</v>
      </c>
      <c r="H917" t="s">
        <v>23</v>
      </c>
      <c r="I917">
        <v>10</v>
      </c>
      <c r="J917">
        <v>2</v>
      </c>
      <c r="K917" t="s">
        <v>19</v>
      </c>
      <c r="L917">
        <v>1</v>
      </c>
      <c r="M917">
        <v>1279</v>
      </c>
      <c r="O917">
        <v>1</v>
      </c>
      <c r="P917">
        <v>1</v>
      </c>
      <c r="Q917" t="s">
        <v>26</v>
      </c>
      <c r="R917">
        <v>3</v>
      </c>
      <c r="S917">
        <v>2625</v>
      </c>
      <c r="T917" t="s">
        <v>21</v>
      </c>
    </row>
    <row r="918" spans="1:20" x14ac:dyDescent="0.25">
      <c r="A918">
        <v>46</v>
      </c>
      <c r="B918" t="str">
        <f t="shared" si="14"/>
        <v>45-54</v>
      </c>
      <c r="C918" t="s">
        <v>21</v>
      </c>
      <c r="F918" t="s">
        <v>17</v>
      </c>
      <c r="G918">
        <v>168</v>
      </c>
      <c r="H918" t="s">
        <v>18</v>
      </c>
      <c r="I918">
        <v>4</v>
      </c>
      <c r="J918">
        <v>2</v>
      </c>
      <c r="K918" t="s">
        <v>34</v>
      </c>
      <c r="L918">
        <v>1</v>
      </c>
      <c r="M918">
        <v>1280</v>
      </c>
      <c r="O918">
        <v>4</v>
      </c>
      <c r="P918">
        <v>5</v>
      </c>
      <c r="Q918" t="s">
        <v>31</v>
      </c>
      <c r="R918">
        <v>2</v>
      </c>
      <c r="S918">
        <v>18789</v>
      </c>
      <c r="T918" t="s">
        <v>21</v>
      </c>
    </row>
    <row r="919" spans="1:20" x14ac:dyDescent="0.25">
      <c r="A919">
        <v>34</v>
      </c>
      <c r="B919" t="str">
        <f t="shared" si="14"/>
        <v>25-34</v>
      </c>
      <c r="C919" t="s">
        <v>21</v>
      </c>
      <c r="F919" t="s">
        <v>17</v>
      </c>
      <c r="G919">
        <v>131</v>
      </c>
      <c r="H919" t="s">
        <v>18</v>
      </c>
      <c r="I919">
        <v>2</v>
      </c>
      <c r="J919">
        <v>3</v>
      </c>
      <c r="K919" t="s">
        <v>34</v>
      </c>
      <c r="L919">
        <v>1</v>
      </c>
      <c r="M919">
        <v>1281</v>
      </c>
      <c r="O919">
        <v>3</v>
      </c>
      <c r="P919">
        <v>2</v>
      </c>
      <c r="Q919" t="s">
        <v>20</v>
      </c>
      <c r="R919">
        <v>1</v>
      </c>
      <c r="S919">
        <v>4538</v>
      </c>
      <c r="T919" t="s">
        <v>16</v>
      </c>
    </row>
    <row r="920" spans="1:20" x14ac:dyDescent="0.25">
      <c r="A920">
        <v>51</v>
      </c>
      <c r="B920" t="str">
        <f t="shared" si="14"/>
        <v>45-54</v>
      </c>
      <c r="C920" t="s">
        <v>21</v>
      </c>
      <c r="F920" t="s">
        <v>22</v>
      </c>
      <c r="G920">
        <v>237</v>
      </c>
      <c r="H920" t="s">
        <v>18</v>
      </c>
      <c r="I920">
        <v>9</v>
      </c>
      <c r="J920">
        <v>3</v>
      </c>
      <c r="K920" t="s">
        <v>19</v>
      </c>
      <c r="L920">
        <v>1</v>
      </c>
      <c r="M920">
        <v>1282</v>
      </c>
      <c r="O920">
        <v>4</v>
      </c>
      <c r="P920">
        <v>5</v>
      </c>
      <c r="Q920" t="s">
        <v>31</v>
      </c>
      <c r="R920">
        <v>2</v>
      </c>
      <c r="S920">
        <v>19847</v>
      </c>
      <c r="T920" t="s">
        <v>16</v>
      </c>
    </row>
    <row r="921" spans="1:20" x14ac:dyDescent="0.25">
      <c r="A921">
        <v>59</v>
      </c>
      <c r="B921" t="str">
        <f t="shared" si="14"/>
        <v>55+</v>
      </c>
      <c r="C921" t="s">
        <v>21</v>
      </c>
      <c r="F921" t="s">
        <v>17</v>
      </c>
      <c r="G921">
        <v>1429</v>
      </c>
      <c r="H921" t="s">
        <v>23</v>
      </c>
      <c r="I921">
        <v>18</v>
      </c>
      <c r="J921">
        <v>4</v>
      </c>
      <c r="K921" t="s">
        <v>27</v>
      </c>
      <c r="L921">
        <v>1</v>
      </c>
      <c r="M921">
        <v>1283</v>
      </c>
      <c r="O921">
        <v>4</v>
      </c>
      <c r="P921">
        <v>3</v>
      </c>
      <c r="Q921" t="s">
        <v>28</v>
      </c>
      <c r="R921">
        <v>4</v>
      </c>
      <c r="S921">
        <v>10512</v>
      </c>
      <c r="T921" t="s">
        <v>21</v>
      </c>
    </row>
    <row r="922" spans="1:20" x14ac:dyDescent="0.25">
      <c r="A922">
        <v>34</v>
      </c>
      <c r="B922" t="str">
        <f t="shared" si="14"/>
        <v>25-34</v>
      </c>
      <c r="C922" t="s">
        <v>21</v>
      </c>
      <c r="F922" t="s">
        <v>22</v>
      </c>
      <c r="G922">
        <v>135</v>
      </c>
      <c r="H922" t="s">
        <v>23</v>
      </c>
      <c r="I922">
        <v>19</v>
      </c>
      <c r="J922">
        <v>3</v>
      </c>
      <c r="K922" t="s">
        <v>27</v>
      </c>
      <c r="L922">
        <v>1</v>
      </c>
      <c r="M922">
        <v>1285</v>
      </c>
      <c r="O922">
        <v>3</v>
      </c>
      <c r="P922">
        <v>2</v>
      </c>
      <c r="Q922" t="s">
        <v>26</v>
      </c>
      <c r="R922">
        <v>2</v>
      </c>
      <c r="S922">
        <v>4444</v>
      </c>
      <c r="T922" t="s">
        <v>21</v>
      </c>
    </row>
    <row r="923" spans="1:20" x14ac:dyDescent="0.25">
      <c r="A923">
        <v>28</v>
      </c>
      <c r="B923" t="str">
        <f t="shared" si="14"/>
        <v>25-34</v>
      </c>
      <c r="C923" t="s">
        <v>21</v>
      </c>
      <c r="F923" t="s">
        <v>22</v>
      </c>
      <c r="G923">
        <v>791</v>
      </c>
      <c r="H923" t="s">
        <v>23</v>
      </c>
      <c r="I923">
        <v>1</v>
      </c>
      <c r="J923">
        <v>4</v>
      </c>
      <c r="K923" t="s">
        <v>27</v>
      </c>
      <c r="L923">
        <v>1</v>
      </c>
      <c r="M923">
        <v>1286</v>
      </c>
      <c r="O923">
        <v>4</v>
      </c>
      <c r="P923">
        <v>1</v>
      </c>
      <c r="Q923" t="s">
        <v>26</v>
      </c>
      <c r="R923">
        <v>3</v>
      </c>
      <c r="S923">
        <v>2154</v>
      </c>
      <c r="T923" t="s">
        <v>16</v>
      </c>
    </row>
    <row r="924" spans="1:20" x14ac:dyDescent="0.25">
      <c r="A924">
        <v>44</v>
      </c>
      <c r="B924" t="str">
        <f t="shared" si="14"/>
        <v>35-44</v>
      </c>
      <c r="C924" t="s">
        <v>21</v>
      </c>
      <c r="F924" t="s">
        <v>17</v>
      </c>
      <c r="G924">
        <v>1199</v>
      </c>
      <c r="H924" t="s">
        <v>23</v>
      </c>
      <c r="I924">
        <v>4</v>
      </c>
      <c r="J924">
        <v>2</v>
      </c>
      <c r="K924" t="s">
        <v>19</v>
      </c>
      <c r="L924">
        <v>1</v>
      </c>
      <c r="M924">
        <v>1288</v>
      </c>
      <c r="O924">
        <v>3</v>
      </c>
      <c r="P924">
        <v>5</v>
      </c>
      <c r="Q924" t="s">
        <v>31</v>
      </c>
      <c r="R924">
        <v>1</v>
      </c>
      <c r="S924">
        <v>19190</v>
      </c>
      <c r="T924" t="s">
        <v>21</v>
      </c>
    </row>
    <row r="925" spans="1:20" x14ac:dyDescent="0.25">
      <c r="A925">
        <v>34</v>
      </c>
      <c r="B925" t="str">
        <f t="shared" si="14"/>
        <v>25-34</v>
      </c>
      <c r="C925" t="s">
        <v>21</v>
      </c>
      <c r="F925" t="s">
        <v>22</v>
      </c>
      <c r="G925">
        <v>648</v>
      </c>
      <c r="H925" t="s">
        <v>36</v>
      </c>
      <c r="I925">
        <v>11</v>
      </c>
      <c r="J925">
        <v>3</v>
      </c>
      <c r="K925" t="s">
        <v>19</v>
      </c>
      <c r="L925">
        <v>1</v>
      </c>
      <c r="M925">
        <v>1289</v>
      </c>
      <c r="O925">
        <v>3</v>
      </c>
      <c r="P925">
        <v>2</v>
      </c>
      <c r="Q925" t="s">
        <v>36</v>
      </c>
      <c r="R925">
        <v>2</v>
      </c>
      <c r="S925">
        <v>4490</v>
      </c>
      <c r="T925" t="s">
        <v>21</v>
      </c>
    </row>
    <row r="926" spans="1:20" x14ac:dyDescent="0.25">
      <c r="A926">
        <v>35</v>
      </c>
      <c r="B926" t="str">
        <f t="shared" si="14"/>
        <v>35-44</v>
      </c>
      <c r="C926" t="s">
        <v>21</v>
      </c>
      <c r="F926" t="s">
        <v>17</v>
      </c>
      <c r="G926">
        <v>735</v>
      </c>
      <c r="H926" t="s">
        <v>23</v>
      </c>
      <c r="I926">
        <v>6</v>
      </c>
      <c r="J926">
        <v>1</v>
      </c>
      <c r="K926" t="s">
        <v>19</v>
      </c>
      <c r="L926">
        <v>1</v>
      </c>
      <c r="M926">
        <v>1291</v>
      </c>
      <c r="O926">
        <v>3</v>
      </c>
      <c r="P926">
        <v>1</v>
      </c>
      <c r="Q926" t="s">
        <v>24</v>
      </c>
      <c r="R926">
        <v>3</v>
      </c>
      <c r="S926">
        <v>3506</v>
      </c>
      <c r="T926" t="s">
        <v>16</v>
      </c>
    </row>
    <row r="927" spans="1:20" x14ac:dyDescent="0.25">
      <c r="A927">
        <v>42</v>
      </c>
      <c r="B927" t="str">
        <f t="shared" si="14"/>
        <v>35-44</v>
      </c>
      <c r="C927" t="s">
        <v>21</v>
      </c>
      <c r="F927" t="s">
        <v>17</v>
      </c>
      <c r="G927">
        <v>603</v>
      </c>
      <c r="H927" t="s">
        <v>23</v>
      </c>
      <c r="I927">
        <v>7</v>
      </c>
      <c r="J927">
        <v>4</v>
      </c>
      <c r="K927" t="s">
        <v>27</v>
      </c>
      <c r="L927">
        <v>1</v>
      </c>
      <c r="M927">
        <v>1292</v>
      </c>
      <c r="O927">
        <v>2</v>
      </c>
      <c r="P927">
        <v>2</v>
      </c>
      <c r="Q927" t="s">
        <v>24</v>
      </c>
      <c r="R927">
        <v>2</v>
      </c>
      <c r="S927">
        <v>2372</v>
      </c>
      <c r="T927" t="s">
        <v>16</v>
      </c>
    </row>
    <row r="928" spans="1:20" x14ac:dyDescent="0.25">
      <c r="A928">
        <v>43</v>
      </c>
      <c r="B928" t="str">
        <f t="shared" si="14"/>
        <v>35-44</v>
      </c>
      <c r="C928" t="s">
        <v>21</v>
      </c>
      <c r="F928" t="s">
        <v>17</v>
      </c>
      <c r="G928">
        <v>531</v>
      </c>
      <c r="H928" t="s">
        <v>18</v>
      </c>
      <c r="I928">
        <v>4</v>
      </c>
      <c r="J928">
        <v>4</v>
      </c>
      <c r="K928" t="s">
        <v>34</v>
      </c>
      <c r="L928">
        <v>1</v>
      </c>
      <c r="M928">
        <v>1293</v>
      </c>
      <c r="O928">
        <v>4</v>
      </c>
      <c r="P928">
        <v>3</v>
      </c>
      <c r="Q928" t="s">
        <v>20</v>
      </c>
      <c r="R928">
        <v>4</v>
      </c>
      <c r="S928">
        <v>10231</v>
      </c>
      <c r="T928" t="s">
        <v>21</v>
      </c>
    </row>
    <row r="929" spans="1:20" x14ac:dyDescent="0.25">
      <c r="A929">
        <v>36</v>
      </c>
      <c r="B929" t="str">
        <f t="shared" si="14"/>
        <v>35-44</v>
      </c>
      <c r="C929" t="s">
        <v>21</v>
      </c>
      <c r="F929" t="s">
        <v>17</v>
      </c>
      <c r="G929">
        <v>429</v>
      </c>
      <c r="H929" t="s">
        <v>23</v>
      </c>
      <c r="I929">
        <v>2</v>
      </c>
      <c r="J929">
        <v>4</v>
      </c>
      <c r="K929" t="s">
        <v>19</v>
      </c>
      <c r="L929">
        <v>1</v>
      </c>
      <c r="M929">
        <v>1294</v>
      </c>
      <c r="O929">
        <v>3</v>
      </c>
      <c r="P929">
        <v>2</v>
      </c>
      <c r="Q929" t="s">
        <v>28</v>
      </c>
      <c r="R929">
        <v>2</v>
      </c>
      <c r="S929">
        <v>5410</v>
      </c>
      <c r="T929" t="s">
        <v>16</v>
      </c>
    </row>
    <row r="930" spans="1:20" x14ac:dyDescent="0.25">
      <c r="A930">
        <v>44</v>
      </c>
      <c r="B930" t="str">
        <f t="shared" si="14"/>
        <v>35-44</v>
      </c>
      <c r="C930" t="s">
        <v>16</v>
      </c>
      <c r="F930" t="s">
        <v>17</v>
      </c>
      <c r="G930">
        <v>621</v>
      </c>
      <c r="H930" t="s">
        <v>23</v>
      </c>
      <c r="I930">
        <v>15</v>
      </c>
      <c r="J930">
        <v>3</v>
      </c>
      <c r="K930" t="s">
        <v>27</v>
      </c>
      <c r="L930">
        <v>1</v>
      </c>
      <c r="M930">
        <v>1295</v>
      </c>
      <c r="O930">
        <v>1</v>
      </c>
      <c r="P930">
        <v>3</v>
      </c>
      <c r="Q930" t="s">
        <v>29</v>
      </c>
      <c r="R930">
        <v>4</v>
      </c>
      <c r="S930">
        <v>7978</v>
      </c>
      <c r="T930" t="s">
        <v>21</v>
      </c>
    </row>
    <row r="931" spans="1:20" x14ac:dyDescent="0.25">
      <c r="A931">
        <v>28</v>
      </c>
      <c r="B931" t="str">
        <f t="shared" si="14"/>
        <v>25-34</v>
      </c>
      <c r="C931" t="s">
        <v>21</v>
      </c>
      <c r="F931" t="s">
        <v>22</v>
      </c>
      <c r="G931">
        <v>193</v>
      </c>
      <c r="H931" t="s">
        <v>23</v>
      </c>
      <c r="I931">
        <v>2</v>
      </c>
      <c r="J931">
        <v>3</v>
      </c>
      <c r="K931" t="s">
        <v>19</v>
      </c>
      <c r="L931">
        <v>1</v>
      </c>
      <c r="M931">
        <v>1296</v>
      </c>
      <c r="O931">
        <v>4</v>
      </c>
      <c r="P931">
        <v>1</v>
      </c>
      <c r="Q931" t="s">
        <v>26</v>
      </c>
      <c r="R931">
        <v>4</v>
      </c>
      <c r="S931">
        <v>3867</v>
      </c>
      <c r="T931" t="s">
        <v>16</v>
      </c>
    </row>
    <row r="932" spans="1:20" x14ac:dyDescent="0.25">
      <c r="A932">
        <v>51</v>
      </c>
      <c r="B932" t="str">
        <f t="shared" si="14"/>
        <v>45-54</v>
      </c>
      <c r="C932" t="s">
        <v>21</v>
      </c>
      <c r="F932" t="s">
        <v>22</v>
      </c>
      <c r="G932">
        <v>968</v>
      </c>
      <c r="H932" t="s">
        <v>23</v>
      </c>
      <c r="I932">
        <v>6</v>
      </c>
      <c r="J932">
        <v>2</v>
      </c>
      <c r="K932" t="s">
        <v>27</v>
      </c>
      <c r="L932">
        <v>1</v>
      </c>
      <c r="M932">
        <v>1297</v>
      </c>
      <c r="O932">
        <v>2</v>
      </c>
      <c r="P932">
        <v>1</v>
      </c>
      <c r="Q932" t="s">
        <v>26</v>
      </c>
      <c r="R932">
        <v>3</v>
      </c>
      <c r="S932">
        <v>2838</v>
      </c>
      <c r="T932" t="s">
        <v>21</v>
      </c>
    </row>
    <row r="933" spans="1:20" x14ac:dyDescent="0.25">
      <c r="A933">
        <v>30</v>
      </c>
      <c r="B933" t="str">
        <f t="shared" si="14"/>
        <v>25-34</v>
      </c>
      <c r="C933" t="s">
        <v>21</v>
      </c>
      <c r="F933" t="s">
        <v>30</v>
      </c>
      <c r="G933">
        <v>879</v>
      </c>
      <c r="H933" t="s">
        <v>23</v>
      </c>
      <c r="I933">
        <v>9</v>
      </c>
      <c r="J933">
        <v>2</v>
      </c>
      <c r="K933" t="s">
        <v>27</v>
      </c>
      <c r="L933">
        <v>1</v>
      </c>
      <c r="M933">
        <v>1298</v>
      </c>
      <c r="O933">
        <v>3</v>
      </c>
      <c r="P933">
        <v>2</v>
      </c>
      <c r="Q933" t="s">
        <v>28</v>
      </c>
      <c r="R933">
        <v>3</v>
      </c>
      <c r="S933">
        <v>4695</v>
      </c>
      <c r="T933" t="s">
        <v>16</v>
      </c>
    </row>
    <row r="934" spans="1:20" x14ac:dyDescent="0.25">
      <c r="A934">
        <v>29</v>
      </c>
      <c r="B934" t="str">
        <f t="shared" si="14"/>
        <v>25-34</v>
      </c>
      <c r="C934" t="s">
        <v>16</v>
      </c>
      <c r="F934" t="s">
        <v>17</v>
      </c>
      <c r="G934">
        <v>806</v>
      </c>
      <c r="H934" t="s">
        <v>23</v>
      </c>
      <c r="I934">
        <v>7</v>
      </c>
      <c r="J934">
        <v>3</v>
      </c>
      <c r="K934" t="s">
        <v>35</v>
      </c>
      <c r="L934">
        <v>1</v>
      </c>
      <c r="M934">
        <v>1299</v>
      </c>
      <c r="O934">
        <v>2</v>
      </c>
      <c r="P934">
        <v>1</v>
      </c>
      <c r="Q934" t="s">
        <v>26</v>
      </c>
      <c r="R934">
        <v>3</v>
      </c>
      <c r="S934">
        <v>3339</v>
      </c>
      <c r="T934" t="s">
        <v>16</v>
      </c>
    </row>
    <row r="935" spans="1:20" x14ac:dyDescent="0.25">
      <c r="A935">
        <v>28</v>
      </c>
      <c r="B935" t="str">
        <f t="shared" si="14"/>
        <v>25-34</v>
      </c>
      <c r="C935" t="s">
        <v>21</v>
      </c>
      <c r="F935" t="s">
        <v>17</v>
      </c>
      <c r="G935">
        <v>640</v>
      </c>
      <c r="H935" t="s">
        <v>23</v>
      </c>
      <c r="I935">
        <v>1</v>
      </c>
      <c r="J935">
        <v>3</v>
      </c>
      <c r="K935" t="s">
        <v>35</v>
      </c>
      <c r="L935">
        <v>1</v>
      </c>
      <c r="M935">
        <v>1301</v>
      </c>
      <c r="O935">
        <v>4</v>
      </c>
      <c r="P935">
        <v>1</v>
      </c>
      <c r="Q935" t="s">
        <v>24</v>
      </c>
      <c r="R935">
        <v>1</v>
      </c>
      <c r="S935">
        <v>2080</v>
      </c>
      <c r="T935" t="s">
        <v>21</v>
      </c>
    </row>
    <row r="936" spans="1:20" x14ac:dyDescent="0.25">
      <c r="A936">
        <v>25</v>
      </c>
      <c r="B936" t="str">
        <f t="shared" si="14"/>
        <v>25-34</v>
      </c>
      <c r="C936" t="s">
        <v>21</v>
      </c>
      <c r="F936" t="s">
        <v>17</v>
      </c>
      <c r="G936">
        <v>266</v>
      </c>
      <c r="H936" t="s">
        <v>23</v>
      </c>
      <c r="I936">
        <v>1</v>
      </c>
      <c r="J936">
        <v>3</v>
      </c>
      <c r="K936" t="s">
        <v>27</v>
      </c>
      <c r="L936">
        <v>1</v>
      </c>
      <c r="M936">
        <v>1303</v>
      </c>
      <c r="O936">
        <v>4</v>
      </c>
      <c r="P936">
        <v>1</v>
      </c>
      <c r="Q936" t="s">
        <v>24</v>
      </c>
      <c r="R936">
        <v>2</v>
      </c>
      <c r="S936">
        <v>2096</v>
      </c>
      <c r="T936" t="s">
        <v>21</v>
      </c>
    </row>
    <row r="937" spans="1:20" x14ac:dyDescent="0.25">
      <c r="A937">
        <v>32</v>
      </c>
      <c r="B937" t="str">
        <f t="shared" si="14"/>
        <v>25-34</v>
      </c>
      <c r="C937" t="s">
        <v>21</v>
      </c>
      <c r="F937" t="s">
        <v>17</v>
      </c>
      <c r="G937">
        <v>604</v>
      </c>
      <c r="H937" t="s">
        <v>18</v>
      </c>
      <c r="I937">
        <v>8</v>
      </c>
      <c r="J937">
        <v>3</v>
      </c>
      <c r="K937" t="s">
        <v>27</v>
      </c>
      <c r="L937">
        <v>1</v>
      </c>
      <c r="M937">
        <v>1304</v>
      </c>
      <c r="O937">
        <v>3</v>
      </c>
      <c r="P937">
        <v>2</v>
      </c>
      <c r="Q937" t="s">
        <v>20</v>
      </c>
      <c r="R937">
        <v>4</v>
      </c>
      <c r="S937">
        <v>6209</v>
      </c>
      <c r="T937" t="s">
        <v>21</v>
      </c>
    </row>
    <row r="938" spans="1:20" x14ac:dyDescent="0.25">
      <c r="A938">
        <v>45</v>
      </c>
      <c r="B938" t="str">
        <f t="shared" si="14"/>
        <v>45-54</v>
      </c>
      <c r="C938" t="s">
        <v>21</v>
      </c>
      <c r="F938" t="s">
        <v>22</v>
      </c>
      <c r="G938">
        <v>364</v>
      </c>
      <c r="H938" t="s">
        <v>23</v>
      </c>
      <c r="I938">
        <v>25</v>
      </c>
      <c r="J938">
        <v>3</v>
      </c>
      <c r="K938" t="s">
        <v>27</v>
      </c>
      <c r="L938">
        <v>1</v>
      </c>
      <c r="M938">
        <v>1306</v>
      </c>
      <c r="O938">
        <v>2</v>
      </c>
      <c r="P938">
        <v>5</v>
      </c>
      <c r="Q938" t="s">
        <v>31</v>
      </c>
      <c r="R938">
        <v>2</v>
      </c>
      <c r="S938">
        <v>18061</v>
      </c>
      <c r="T938" t="s">
        <v>21</v>
      </c>
    </row>
    <row r="939" spans="1:20" x14ac:dyDescent="0.25">
      <c r="A939">
        <v>39</v>
      </c>
      <c r="B939" t="str">
        <f t="shared" si="14"/>
        <v>35-44</v>
      </c>
      <c r="C939" t="s">
        <v>21</v>
      </c>
      <c r="F939" t="s">
        <v>17</v>
      </c>
      <c r="G939">
        <v>412</v>
      </c>
      <c r="H939" t="s">
        <v>23</v>
      </c>
      <c r="I939">
        <v>13</v>
      </c>
      <c r="J939">
        <v>4</v>
      </c>
      <c r="K939" t="s">
        <v>27</v>
      </c>
      <c r="L939">
        <v>1</v>
      </c>
      <c r="M939">
        <v>1307</v>
      </c>
      <c r="O939">
        <v>3</v>
      </c>
      <c r="P939">
        <v>4</v>
      </c>
      <c r="Q939" t="s">
        <v>31</v>
      </c>
      <c r="R939">
        <v>2</v>
      </c>
      <c r="S939">
        <v>17123</v>
      </c>
      <c r="T939" t="s">
        <v>16</v>
      </c>
    </row>
    <row r="940" spans="1:20" x14ac:dyDescent="0.25">
      <c r="A940">
        <v>58</v>
      </c>
      <c r="B940" t="str">
        <f t="shared" si="14"/>
        <v>55+</v>
      </c>
      <c r="C940" t="s">
        <v>21</v>
      </c>
      <c r="F940" t="s">
        <v>17</v>
      </c>
      <c r="G940">
        <v>848</v>
      </c>
      <c r="H940" t="s">
        <v>23</v>
      </c>
      <c r="I940">
        <v>23</v>
      </c>
      <c r="J940">
        <v>4</v>
      </c>
      <c r="K940" t="s">
        <v>19</v>
      </c>
      <c r="L940">
        <v>1</v>
      </c>
      <c r="M940">
        <v>1308</v>
      </c>
      <c r="O940">
        <v>1</v>
      </c>
      <c r="P940">
        <v>1</v>
      </c>
      <c r="Q940" t="s">
        <v>24</v>
      </c>
      <c r="R940">
        <v>3</v>
      </c>
      <c r="S940">
        <v>2372</v>
      </c>
      <c r="T940" t="s">
        <v>21</v>
      </c>
    </row>
    <row r="941" spans="1:20" x14ac:dyDescent="0.25">
      <c r="A941">
        <v>32</v>
      </c>
      <c r="B941" t="str">
        <f t="shared" si="14"/>
        <v>25-34</v>
      </c>
      <c r="C941" t="s">
        <v>16</v>
      </c>
      <c r="F941" t="s">
        <v>17</v>
      </c>
      <c r="G941">
        <v>1089</v>
      </c>
      <c r="H941" t="s">
        <v>23</v>
      </c>
      <c r="I941">
        <v>7</v>
      </c>
      <c r="J941">
        <v>2</v>
      </c>
      <c r="K941" t="s">
        <v>19</v>
      </c>
      <c r="L941">
        <v>1</v>
      </c>
      <c r="M941">
        <v>1309</v>
      </c>
      <c r="O941">
        <v>4</v>
      </c>
      <c r="P941">
        <v>2</v>
      </c>
      <c r="Q941" t="s">
        <v>26</v>
      </c>
      <c r="R941">
        <v>3</v>
      </c>
      <c r="S941">
        <v>4883</v>
      </c>
      <c r="T941" t="s">
        <v>21</v>
      </c>
    </row>
    <row r="942" spans="1:20" x14ac:dyDescent="0.25">
      <c r="A942">
        <v>39</v>
      </c>
      <c r="B942" t="str">
        <f t="shared" si="14"/>
        <v>35-44</v>
      </c>
      <c r="C942" t="s">
        <v>16</v>
      </c>
      <c r="F942" t="s">
        <v>17</v>
      </c>
      <c r="G942">
        <v>360</v>
      </c>
      <c r="H942" t="s">
        <v>23</v>
      </c>
      <c r="I942">
        <v>23</v>
      </c>
      <c r="J942">
        <v>3</v>
      </c>
      <c r="K942" t="s">
        <v>27</v>
      </c>
      <c r="L942">
        <v>1</v>
      </c>
      <c r="M942">
        <v>1310</v>
      </c>
      <c r="O942">
        <v>3</v>
      </c>
      <c r="P942">
        <v>1</v>
      </c>
      <c r="Q942" t="s">
        <v>24</v>
      </c>
      <c r="R942">
        <v>1</v>
      </c>
      <c r="S942">
        <v>3904</v>
      </c>
      <c r="T942" t="s">
        <v>21</v>
      </c>
    </row>
    <row r="943" spans="1:20" x14ac:dyDescent="0.25">
      <c r="A943">
        <v>30</v>
      </c>
      <c r="B943" t="str">
        <f t="shared" si="14"/>
        <v>25-34</v>
      </c>
      <c r="C943" t="s">
        <v>21</v>
      </c>
      <c r="F943" t="s">
        <v>17</v>
      </c>
      <c r="G943">
        <v>1138</v>
      </c>
      <c r="H943" t="s">
        <v>23</v>
      </c>
      <c r="I943">
        <v>6</v>
      </c>
      <c r="J943">
        <v>3</v>
      </c>
      <c r="K943" t="s">
        <v>35</v>
      </c>
      <c r="L943">
        <v>1</v>
      </c>
      <c r="M943">
        <v>1311</v>
      </c>
      <c r="O943">
        <v>1</v>
      </c>
      <c r="P943">
        <v>2</v>
      </c>
      <c r="Q943" t="s">
        <v>26</v>
      </c>
      <c r="R943">
        <v>4</v>
      </c>
      <c r="S943">
        <v>4627</v>
      </c>
      <c r="T943" t="s">
        <v>21</v>
      </c>
    </row>
    <row r="944" spans="1:20" x14ac:dyDescent="0.25">
      <c r="A944">
        <v>36</v>
      </c>
      <c r="B944" t="str">
        <f t="shared" si="14"/>
        <v>35-44</v>
      </c>
      <c r="C944" t="s">
        <v>21</v>
      </c>
      <c r="F944" t="s">
        <v>17</v>
      </c>
      <c r="G944">
        <v>325</v>
      </c>
      <c r="H944" t="s">
        <v>23</v>
      </c>
      <c r="I944">
        <v>10</v>
      </c>
      <c r="J944">
        <v>4</v>
      </c>
      <c r="K944" t="s">
        <v>35</v>
      </c>
      <c r="L944">
        <v>1</v>
      </c>
      <c r="M944">
        <v>1312</v>
      </c>
      <c r="O944">
        <v>4</v>
      </c>
      <c r="P944">
        <v>3</v>
      </c>
      <c r="Q944" t="s">
        <v>29</v>
      </c>
      <c r="R944">
        <v>3</v>
      </c>
      <c r="S944">
        <v>7094</v>
      </c>
      <c r="T944" t="s">
        <v>21</v>
      </c>
    </row>
    <row r="945" spans="1:20" x14ac:dyDescent="0.25">
      <c r="A945">
        <v>46</v>
      </c>
      <c r="B945" t="str">
        <f t="shared" si="14"/>
        <v>45-54</v>
      </c>
      <c r="C945" t="s">
        <v>21</v>
      </c>
      <c r="F945" t="s">
        <v>17</v>
      </c>
      <c r="G945">
        <v>991</v>
      </c>
      <c r="H945" t="s">
        <v>36</v>
      </c>
      <c r="I945">
        <v>1</v>
      </c>
      <c r="J945">
        <v>2</v>
      </c>
      <c r="K945" t="s">
        <v>19</v>
      </c>
      <c r="L945">
        <v>1</v>
      </c>
      <c r="M945">
        <v>1314</v>
      </c>
      <c r="O945">
        <v>4</v>
      </c>
      <c r="P945">
        <v>1</v>
      </c>
      <c r="Q945" t="s">
        <v>36</v>
      </c>
      <c r="R945">
        <v>1</v>
      </c>
      <c r="S945">
        <v>3423</v>
      </c>
      <c r="T945" t="s">
        <v>21</v>
      </c>
    </row>
    <row r="946" spans="1:20" x14ac:dyDescent="0.25">
      <c r="A946">
        <v>28</v>
      </c>
      <c r="B946" t="str">
        <f t="shared" si="14"/>
        <v>25-34</v>
      </c>
      <c r="C946" t="s">
        <v>21</v>
      </c>
      <c r="F946" t="s">
        <v>30</v>
      </c>
      <c r="G946">
        <v>1476</v>
      </c>
      <c r="H946" t="s">
        <v>23</v>
      </c>
      <c r="I946">
        <v>1</v>
      </c>
      <c r="J946">
        <v>3</v>
      </c>
      <c r="K946" t="s">
        <v>19</v>
      </c>
      <c r="L946">
        <v>1</v>
      </c>
      <c r="M946">
        <v>1315</v>
      </c>
      <c r="O946">
        <v>3</v>
      </c>
      <c r="P946">
        <v>2</v>
      </c>
      <c r="Q946" t="s">
        <v>26</v>
      </c>
      <c r="R946">
        <v>4</v>
      </c>
      <c r="S946">
        <v>6674</v>
      </c>
      <c r="T946" t="s">
        <v>21</v>
      </c>
    </row>
    <row r="947" spans="1:20" x14ac:dyDescent="0.25">
      <c r="A947">
        <v>50</v>
      </c>
      <c r="B947" t="str">
        <f t="shared" si="14"/>
        <v>45-54</v>
      </c>
      <c r="C947" t="s">
        <v>21</v>
      </c>
      <c r="F947" t="s">
        <v>17</v>
      </c>
      <c r="G947">
        <v>1322</v>
      </c>
      <c r="H947" t="s">
        <v>23</v>
      </c>
      <c r="I947">
        <v>28</v>
      </c>
      <c r="J947">
        <v>3</v>
      </c>
      <c r="K947" t="s">
        <v>19</v>
      </c>
      <c r="L947">
        <v>1</v>
      </c>
      <c r="M947">
        <v>1317</v>
      </c>
      <c r="O947">
        <v>4</v>
      </c>
      <c r="P947">
        <v>4</v>
      </c>
      <c r="Q947" t="s">
        <v>33</v>
      </c>
      <c r="R947">
        <v>1</v>
      </c>
      <c r="S947">
        <v>16880</v>
      </c>
      <c r="T947" t="s">
        <v>16</v>
      </c>
    </row>
    <row r="948" spans="1:20" x14ac:dyDescent="0.25">
      <c r="A948">
        <v>40</v>
      </c>
      <c r="B948" t="str">
        <f t="shared" si="14"/>
        <v>35-44</v>
      </c>
      <c r="C948" t="s">
        <v>16</v>
      </c>
      <c r="F948" t="s">
        <v>17</v>
      </c>
      <c r="G948">
        <v>299</v>
      </c>
      <c r="H948" t="s">
        <v>18</v>
      </c>
      <c r="I948">
        <v>25</v>
      </c>
      <c r="J948">
        <v>4</v>
      </c>
      <c r="K948" t="s">
        <v>34</v>
      </c>
      <c r="L948">
        <v>1</v>
      </c>
      <c r="M948">
        <v>1318</v>
      </c>
      <c r="O948">
        <v>4</v>
      </c>
      <c r="P948">
        <v>3</v>
      </c>
      <c r="Q948" t="s">
        <v>20</v>
      </c>
      <c r="R948">
        <v>2</v>
      </c>
      <c r="S948">
        <v>9094</v>
      </c>
      <c r="T948" t="s">
        <v>16</v>
      </c>
    </row>
    <row r="949" spans="1:20" x14ac:dyDescent="0.25">
      <c r="A949">
        <v>52</v>
      </c>
      <c r="B949" t="str">
        <f t="shared" si="14"/>
        <v>45-54</v>
      </c>
      <c r="C949" t="s">
        <v>16</v>
      </c>
      <c r="F949" t="s">
        <v>17</v>
      </c>
      <c r="G949">
        <v>1030</v>
      </c>
      <c r="H949" t="s">
        <v>18</v>
      </c>
      <c r="I949">
        <v>5</v>
      </c>
      <c r="J949">
        <v>3</v>
      </c>
      <c r="K949" t="s">
        <v>19</v>
      </c>
      <c r="L949">
        <v>1</v>
      </c>
      <c r="M949">
        <v>1319</v>
      </c>
      <c r="O949">
        <v>2</v>
      </c>
      <c r="P949">
        <v>3</v>
      </c>
      <c r="Q949" t="s">
        <v>20</v>
      </c>
      <c r="R949">
        <v>2</v>
      </c>
      <c r="S949">
        <v>8446</v>
      </c>
      <c r="T949" t="s">
        <v>16</v>
      </c>
    </row>
    <row r="950" spans="1:20" x14ac:dyDescent="0.25">
      <c r="A950">
        <v>30</v>
      </c>
      <c r="B950" t="str">
        <f t="shared" si="14"/>
        <v>25-34</v>
      </c>
      <c r="C950" t="s">
        <v>21</v>
      </c>
      <c r="F950" t="s">
        <v>17</v>
      </c>
      <c r="G950">
        <v>634</v>
      </c>
      <c r="H950" t="s">
        <v>23</v>
      </c>
      <c r="I950">
        <v>17</v>
      </c>
      <c r="J950">
        <v>4</v>
      </c>
      <c r="K950" t="s">
        <v>27</v>
      </c>
      <c r="L950">
        <v>1</v>
      </c>
      <c r="M950">
        <v>1321</v>
      </c>
      <c r="O950">
        <v>2</v>
      </c>
      <c r="P950">
        <v>3</v>
      </c>
      <c r="Q950" t="s">
        <v>31</v>
      </c>
      <c r="R950">
        <v>1</v>
      </c>
      <c r="S950">
        <v>11916</v>
      </c>
      <c r="T950" t="s">
        <v>16</v>
      </c>
    </row>
    <row r="951" spans="1:20" x14ac:dyDescent="0.25">
      <c r="A951">
        <v>39</v>
      </c>
      <c r="B951" t="str">
        <f t="shared" si="14"/>
        <v>35-44</v>
      </c>
      <c r="C951" t="s">
        <v>21</v>
      </c>
      <c r="F951" t="s">
        <v>17</v>
      </c>
      <c r="G951">
        <v>524</v>
      </c>
      <c r="H951" t="s">
        <v>23</v>
      </c>
      <c r="I951">
        <v>18</v>
      </c>
      <c r="J951">
        <v>2</v>
      </c>
      <c r="K951" t="s">
        <v>19</v>
      </c>
      <c r="L951">
        <v>1</v>
      </c>
      <c r="M951">
        <v>1322</v>
      </c>
      <c r="O951">
        <v>1</v>
      </c>
      <c r="P951">
        <v>2</v>
      </c>
      <c r="Q951" t="s">
        <v>28</v>
      </c>
      <c r="R951">
        <v>3</v>
      </c>
      <c r="S951">
        <v>4534</v>
      </c>
      <c r="T951" t="s">
        <v>21</v>
      </c>
    </row>
    <row r="952" spans="1:20" x14ac:dyDescent="0.25">
      <c r="A952">
        <v>31</v>
      </c>
      <c r="B952" t="str">
        <f t="shared" si="14"/>
        <v>25-34</v>
      </c>
      <c r="C952" t="s">
        <v>21</v>
      </c>
      <c r="F952" t="s">
        <v>30</v>
      </c>
      <c r="G952">
        <v>587</v>
      </c>
      <c r="H952" t="s">
        <v>18</v>
      </c>
      <c r="I952">
        <v>2</v>
      </c>
      <c r="J952">
        <v>4</v>
      </c>
      <c r="K952" t="s">
        <v>19</v>
      </c>
      <c r="L952">
        <v>1</v>
      </c>
      <c r="M952">
        <v>1324</v>
      </c>
      <c r="O952">
        <v>4</v>
      </c>
      <c r="P952">
        <v>3</v>
      </c>
      <c r="Q952" t="s">
        <v>20</v>
      </c>
      <c r="R952">
        <v>3</v>
      </c>
      <c r="S952">
        <v>9852</v>
      </c>
      <c r="T952" t="s">
        <v>16</v>
      </c>
    </row>
    <row r="953" spans="1:20" x14ac:dyDescent="0.25">
      <c r="A953">
        <v>41</v>
      </c>
      <c r="B953" t="str">
        <f t="shared" si="14"/>
        <v>35-44</v>
      </c>
      <c r="C953" t="s">
        <v>21</v>
      </c>
      <c r="F953" t="s">
        <v>30</v>
      </c>
      <c r="G953">
        <v>256</v>
      </c>
      <c r="H953" t="s">
        <v>18</v>
      </c>
      <c r="I953">
        <v>10</v>
      </c>
      <c r="J953">
        <v>2</v>
      </c>
      <c r="K953" t="s">
        <v>27</v>
      </c>
      <c r="L953">
        <v>1</v>
      </c>
      <c r="M953">
        <v>1329</v>
      </c>
      <c r="O953">
        <v>3</v>
      </c>
      <c r="P953">
        <v>2</v>
      </c>
      <c r="Q953" t="s">
        <v>20</v>
      </c>
      <c r="R953">
        <v>2</v>
      </c>
      <c r="S953">
        <v>6151</v>
      </c>
      <c r="T953" t="s">
        <v>21</v>
      </c>
    </row>
    <row r="954" spans="1:20" x14ac:dyDescent="0.25">
      <c r="A954">
        <v>31</v>
      </c>
      <c r="B954" t="str">
        <f t="shared" si="14"/>
        <v>25-34</v>
      </c>
      <c r="C954" t="s">
        <v>16</v>
      </c>
      <c r="F954" t="s">
        <v>22</v>
      </c>
      <c r="G954">
        <v>1060</v>
      </c>
      <c r="H954" t="s">
        <v>18</v>
      </c>
      <c r="I954">
        <v>1</v>
      </c>
      <c r="J954">
        <v>3</v>
      </c>
      <c r="K954" t="s">
        <v>19</v>
      </c>
      <c r="L954">
        <v>1</v>
      </c>
      <c r="M954">
        <v>1331</v>
      </c>
      <c r="O954">
        <v>4</v>
      </c>
      <c r="P954">
        <v>1</v>
      </c>
      <c r="Q954" t="s">
        <v>32</v>
      </c>
      <c r="R954">
        <v>2</v>
      </c>
      <c r="S954">
        <v>2302</v>
      </c>
      <c r="T954" t="s">
        <v>16</v>
      </c>
    </row>
    <row r="955" spans="1:20" x14ac:dyDescent="0.25">
      <c r="A955">
        <v>44</v>
      </c>
      <c r="B955" t="str">
        <f t="shared" si="14"/>
        <v>35-44</v>
      </c>
      <c r="C955" t="s">
        <v>16</v>
      </c>
      <c r="F955" t="s">
        <v>17</v>
      </c>
      <c r="G955">
        <v>935</v>
      </c>
      <c r="H955" t="s">
        <v>23</v>
      </c>
      <c r="I955">
        <v>3</v>
      </c>
      <c r="J955">
        <v>3</v>
      </c>
      <c r="K955" t="s">
        <v>19</v>
      </c>
      <c r="L955">
        <v>1</v>
      </c>
      <c r="M955">
        <v>1333</v>
      </c>
      <c r="O955">
        <v>1</v>
      </c>
      <c r="P955">
        <v>1</v>
      </c>
      <c r="Q955" t="s">
        <v>26</v>
      </c>
      <c r="R955">
        <v>1</v>
      </c>
      <c r="S955">
        <v>2362</v>
      </c>
      <c r="T955" t="s">
        <v>21</v>
      </c>
    </row>
    <row r="956" spans="1:20" x14ac:dyDescent="0.25">
      <c r="A956">
        <v>42</v>
      </c>
      <c r="B956" t="str">
        <f t="shared" si="14"/>
        <v>35-44</v>
      </c>
      <c r="C956" t="s">
        <v>21</v>
      </c>
      <c r="F956" t="s">
        <v>30</v>
      </c>
      <c r="G956">
        <v>495</v>
      </c>
      <c r="H956" t="s">
        <v>23</v>
      </c>
      <c r="I956">
        <v>2</v>
      </c>
      <c r="J956">
        <v>1</v>
      </c>
      <c r="K956" t="s">
        <v>19</v>
      </c>
      <c r="L956">
        <v>1</v>
      </c>
      <c r="M956">
        <v>1334</v>
      </c>
      <c r="O956">
        <v>3</v>
      </c>
      <c r="P956">
        <v>4</v>
      </c>
      <c r="Q956" t="s">
        <v>31</v>
      </c>
      <c r="R956">
        <v>3</v>
      </c>
      <c r="S956">
        <v>17861</v>
      </c>
      <c r="T956" t="s">
        <v>16</v>
      </c>
    </row>
    <row r="957" spans="1:20" x14ac:dyDescent="0.25">
      <c r="A957">
        <v>55</v>
      </c>
      <c r="B957" t="str">
        <f t="shared" si="14"/>
        <v>55+</v>
      </c>
      <c r="C957" t="s">
        <v>21</v>
      </c>
      <c r="F957" t="s">
        <v>17</v>
      </c>
      <c r="G957">
        <v>282</v>
      </c>
      <c r="H957" t="s">
        <v>23</v>
      </c>
      <c r="I957">
        <v>2</v>
      </c>
      <c r="J957">
        <v>2</v>
      </c>
      <c r="K957" t="s">
        <v>27</v>
      </c>
      <c r="L957">
        <v>1</v>
      </c>
      <c r="M957">
        <v>1336</v>
      </c>
      <c r="O957">
        <v>4</v>
      </c>
      <c r="P957">
        <v>5</v>
      </c>
      <c r="Q957" t="s">
        <v>31</v>
      </c>
      <c r="R957">
        <v>3</v>
      </c>
      <c r="S957">
        <v>19187</v>
      </c>
      <c r="T957" t="s">
        <v>21</v>
      </c>
    </row>
    <row r="958" spans="1:20" x14ac:dyDescent="0.25">
      <c r="A958">
        <v>56</v>
      </c>
      <c r="B958" t="str">
        <f t="shared" si="14"/>
        <v>55+</v>
      </c>
      <c r="C958" t="s">
        <v>21</v>
      </c>
      <c r="F958" t="s">
        <v>17</v>
      </c>
      <c r="G958">
        <v>206</v>
      </c>
      <c r="H958" t="s">
        <v>36</v>
      </c>
      <c r="I958">
        <v>8</v>
      </c>
      <c r="J958">
        <v>4</v>
      </c>
      <c r="K958" t="s">
        <v>19</v>
      </c>
      <c r="L958">
        <v>1</v>
      </c>
      <c r="M958">
        <v>1338</v>
      </c>
      <c r="O958">
        <v>4</v>
      </c>
      <c r="P958">
        <v>5</v>
      </c>
      <c r="Q958" t="s">
        <v>31</v>
      </c>
      <c r="R958">
        <v>2</v>
      </c>
      <c r="S958">
        <v>19717</v>
      </c>
      <c r="T958" t="s">
        <v>21</v>
      </c>
    </row>
    <row r="959" spans="1:20" x14ac:dyDescent="0.25">
      <c r="A959">
        <v>40</v>
      </c>
      <c r="B959" t="str">
        <f t="shared" si="14"/>
        <v>35-44</v>
      </c>
      <c r="C959" t="s">
        <v>21</v>
      </c>
      <c r="F959" t="s">
        <v>30</v>
      </c>
      <c r="G959">
        <v>458</v>
      </c>
      <c r="H959" t="s">
        <v>23</v>
      </c>
      <c r="I959">
        <v>16</v>
      </c>
      <c r="J959">
        <v>2</v>
      </c>
      <c r="K959" t="s">
        <v>19</v>
      </c>
      <c r="L959">
        <v>1</v>
      </c>
      <c r="M959">
        <v>1340</v>
      </c>
      <c r="O959">
        <v>3</v>
      </c>
      <c r="P959">
        <v>1</v>
      </c>
      <c r="Q959" t="s">
        <v>24</v>
      </c>
      <c r="R959">
        <v>3</v>
      </c>
      <c r="S959">
        <v>3544</v>
      </c>
      <c r="T959" t="s">
        <v>21</v>
      </c>
    </row>
    <row r="960" spans="1:20" x14ac:dyDescent="0.25">
      <c r="A960">
        <v>34</v>
      </c>
      <c r="B960" t="str">
        <f t="shared" si="14"/>
        <v>25-34</v>
      </c>
      <c r="C960" t="s">
        <v>21</v>
      </c>
      <c r="F960" t="s">
        <v>17</v>
      </c>
      <c r="G960">
        <v>943</v>
      </c>
      <c r="H960" t="s">
        <v>23</v>
      </c>
      <c r="I960">
        <v>9</v>
      </c>
      <c r="J960">
        <v>3</v>
      </c>
      <c r="K960" t="s">
        <v>19</v>
      </c>
      <c r="L960">
        <v>1</v>
      </c>
      <c r="M960">
        <v>1344</v>
      </c>
      <c r="O960">
        <v>4</v>
      </c>
      <c r="P960">
        <v>3</v>
      </c>
      <c r="Q960" t="s">
        <v>29</v>
      </c>
      <c r="R960">
        <v>4</v>
      </c>
      <c r="S960">
        <v>8500</v>
      </c>
      <c r="T960" t="s">
        <v>21</v>
      </c>
    </row>
    <row r="961" spans="1:20" x14ac:dyDescent="0.25">
      <c r="A961">
        <v>40</v>
      </c>
      <c r="B961" t="str">
        <f t="shared" si="14"/>
        <v>35-44</v>
      </c>
      <c r="C961" t="s">
        <v>21</v>
      </c>
      <c r="F961" t="s">
        <v>17</v>
      </c>
      <c r="G961">
        <v>523</v>
      </c>
      <c r="H961" t="s">
        <v>23</v>
      </c>
      <c r="I961">
        <v>2</v>
      </c>
      <c r="J961">
        <v>3</v>
      </c>
      <c r="K961" t="s">
        <v>19</v>
      </c>
      <c r="L961">
        <v>1</v>
      </c>
      <c r="M961">
        <v>1346</v>
      </c>
      <c r="O961">
        <v>3</v>
      </c>
      <c r="P961">
        <v>2</v>
      </c>
      <c r="Q961" t="s">
        <v>24</v>
      </c>
      <c r="R961">
        <v>4</v>
      </c>
      <c r="S961">
        <v>4661</v>
      </c>
      <c r="T961" t="s">
        <v>21</v>
      </c>
    </row>
    <row r="962" spans="1:20" x14ac:dyDescent="0.25">
      <c r="A962">
        <v>41</v>
      </c>
      <c r="B962" t="str">
        <f t="shared" si="14"/>
        <v>35-44</v>
      </c>
      <c r="C962" t="s">
        <v>21</v>
      </c>
      <c r="F962" t="s">
        <v>22</v>
      </c>
      <c r="G962">
        <v>1018</v>
      </c>
      <c r="H962" t="s">
        <v>18</v>
      </c>
      <c r="I962">
        <v>1</v>
      </c>
      <c r="J962">
        <v>3</v>
      </c>
      <c r="K962" t="s">
        <v>34</v>
      </c>
      <c r="L962">
        <v>1</v>
      </c>
      <c r="M962">
        <v>1349</v>
      </c>
      <c r="O962">
        <v>3</v>
      </c>
      <c r="P962">
        <v>2</v>
      </c>
      <c r="Q962" t="s">
        <v>20</v>
      </c>
      <c r="R962">
        <v>1</v>
      </c>
      <c r="S962">
        <v>4103</v>
      </c>
      <c r="T962" t="s">
        <v>21</v>
      </c>
    </row>
    <row r="963" spans="1:20" x14ac:dyDescent="0.25">
      <c r="A963">
        <v>35</v>
      </c>
      <c r="B963" t="str">
        <f t="shared" ref="B963:B1026" si="15">IF(A963&lt;=24,"18-24",IF(A963&lt;=34,"25-34",IF(A963&lt;=44,"35-44",IF(A963&lt;=54,"45-54","55+"))))</f>
        <v>35-44</v>
      </c>
      <c r="C963" t="s">
        <v>21</v>
      </c>
      <c r="F963" t="s">
        <v>22</v>
      </c>
      <c r="G963">
        <v>482</v>
      </c>
      <c r="H963" t="s">
        <v>23</v>
      </c>
      <c r="I963">
        <v>4</v>
      </c>
      <c r="J963">
        <v>4</v>
      </c>
      <c r="K963" t="s">
        <v>19</v>
      </c>
      <c r="L963">
        <v>1</v>
      </c>
      <c r="M963">
        <v>1350</v>
      </c>
      <c r="O963">
        <v>3</v>
      </c>
      <c r="P963">
        <v>2</v>
      </c>
      <c r="Q963" t="s">
        <v>24</v>
      </c>
      <c r="R963">
        <v>3</v>
      </c>
      <c r="S963">
        <v>4249</v>
      </c>
      <c r="T963" t="s">
        <v>16</v>
      </c>
    </row>
    <row r="964" spans="1:20" x14ac:dyDescent="0.25">
      <c r="A964">
        <v>51</v>
      </c>
      <c r="B964" t="str">
        <f t="shared" si="15"/>
        <v>45-54</v>
      </c>
      <c r="C964" t="s">
        <v>21</v>
      </c>
      <c r="F964" t="s">
        <v>17</v>
      </c>
      <c r="G964">
        <v>770</v>
      </c>
      <c r="H964" t="s">
        <v>36</v>
      </c>
      <c r="I964">
        <v>5</v>
      </c>
      <c r="J964">
        <v>3</v>
      </c>
      <c r="K964" t="s">
        <v>19</v>
      </c>
      <c r="L964">
        <v>1</v>
      </c>
      <c r="M964">
        <v>1352</v>
      </c>
      <c r="O964">
        <v>3</v>
      </c>
      <c r="P964">
        <v>4</v>
      </c>
      <c r="Q964" t="s">
        <v>31</v>
      </c>
      <c r="R964">
        <v>2</v>
      </c>
      <c r="S964">
        <v>14026</v>
      </c>
      <c r="T964" t="s">
        <v>16</v>
      </c>
    </row>
    <row r="965" spans="1:20" x14ac:dyDescent="0.25">
      <c r="A965">
        <v>38</v>
      </c>
      <c r="B965" t="str">
        <f t="shared" si="15"/>
        <v>35-44</v>
      </c>
      <c r="C965" t="s">
        <v>21</v>
      </c>
      <c r="F965" t="s">
        <v>17</v>
      </c>
      <c r="G965">
        <v>1009</v>
      </c>
      <c r="H965" t="s">
        <v>18</v>
      </c>
      <c r="I965">
        <v>2</v>
      </c>
      <c r="J965">
        <v>2</v>
      </c>
      <c r="K965" t="s">
        <v>19</v>
      </c>
      <c r="L965">
        <v>1</v>
      </c>
      <c r="M965">
        <v>1355</v>
      </c>
      <c r="O965">
        <v>2</v>
      </c>
      <c r="P965">
        <v>2</v>
      </c>
      <c r="Q965" t="s">
        <v>20</v>
      </c>
      <c r="R965">
        <v>1</v>
      </c>
      <c r="S965">
        <v>6893</v>
      </c>
      <c r="T965" t="s">
        <v>21</v>
      </c>
    </row>
    <row r="966" spans="1:20" x14ac:dyDescent="0.25">
      <c r="A966">
        <v>34</v>
      </c>
      <c r="B966" t="str">
        <f t="shared" si="15"/>
        <v>25-34</v>
      </c>
      <c r="C966" t="s">
        <v>21</v>
      </c>
      <c r="F966" t="s">
        <v>17</v>
      </c>
      <c r="G966">
        <v>507</v>
      </c>
      <c r="H966" t="s">
        <v>18</v>
      </c>
      <c r="I966">
        <v>15</v>
      </c>
      <c r="J966">
        <v>2</v>
      </c>
      <c r="K966" t="s">
        <v>27</v>
      </c>
      <c r="L966">
        <v>1</v>
      </c>
      <c r="M966">
        <v>1356</v>
      </c>
      <c r="O966">
        <v>3</v>
      </c>
      <c r="P966">
        <v>2</v>
      </c>
      <c r="Q966" t="s">
        <v>20</v>
      </c>
      <c r="R966">
        <v>1</v>
      </c>
      <c r="S966">
        <v>6125</v>
      </c>
      <c r="T966" t="s">
        <v>21</v>
      </c>
    </row>
    <row r="967" spans="1:20" x14ac:dyDescent="0.25">
      <c r="A967">
        <v>25</v>
      </c>
      <c r="B967" t="str">
        <f t="shared" si="15"/>
        <v>25-34</v>
      </c>
      <c r="C967" t="s">
        <v>21</v>
      </c>
      <c r="F967" t="s">
        <v>17</v>
      </c>
      <c r="G967">
        <v>882</v>
      </c>
      <c r="H967" t="s">
        <v>23</v>
      </c>
      <c r="I967">
        <v>19</v>
      </c>
      <c r="J967">
        <v>1</v>
      </c>
      <c r="K967" t="s">
        <v>27</v>
      </c>
      <c r="L967">
        <v>1</v>
      </c>
      <c r="M967">
        <v>1358</v>
      </c>
      <c r="O967">
        <v>4</v>
      </c>
      <c r="P967">
        <v>1</v>
      </c>
      <c r="Q967" t="s">
        <v>26</v>
      </c>
      <c r="R967">
        <v>4</v>
      </c>
      <c r="S967">
        <v>3669</v>
      </c>
      <c r="T967" t="s">
        <v>21</v>
      </c>
    </row>
    <row r="968" spans="1:20" x14ac:dyDescent="0.25">
      <c r="A968">
        <v>58</v>
      </c>
      <c r="B968" t="str">
        <f t="shared" si="15"/>
        <v>55+</v>
      </c>
      <c r="C968" t="s">
        <v>16</v>
      </c>
      <c r="F968" t="s">
        <v>17</v>
      </c>
      <c r="G968">
        <v>601</v>
      </c>
      <c r="H968" t="s">
        <v>23</v>
      </c>
      <c r="I968">
        <v>7</v>
      </c>
      <c r="J968">
        <v>4</v>
      </c>
      <c r="K968" t="s">
        <v>27</v>
      </c>
      <c r="L968">
        <v>1</v>
      </c>
      <c r="M968">
        <v>1360</v>
      </c>
      <c r="O968">
        <v>3</v>
      </c>
      <c r="P968">
        <v>3</v>
      </c>
      <c r="Q968" t="s">
        <v>28</v>
      </c>
      <c r="R968">
        <v>1</v>
      </c>
      <c r="S968">
        <v>10008</v>
      </c>
      <c r="T968" t="s">
        <v>16</v>
      </c>
    </row>
    <row r="969" spans="1:20" x14ac:dyDescent="0.25">
      <c r="A969">
        <v>40</v>
      </c>
      <c r="B969" t="str">
        <f t="shared" si="15"/>
        <v>35-44</v>
      </c>
      <c r="C969" t="s">
        <v>21</v>
      </c>
      <c r="F969" t="s">
        <v>17</v>
      </c>
      <c r="G969">
        <v>329</v>
      </c>
      <c r="H969" t="s">
        <v>23</v>
      </c>
      <c r="I969">
        <v>1</v>
      </c>
      <c r="J969">
        <v>4</v>
      </c>
      <c r="K969" t="s">
        <v>19</v>
      </c>
      <c r="L969">
        <v>1</v>
      </c>
      <c r="M969">
        <v>1361</v>
      </c>
      <c r="O969">
        <v>2</v>
      </c>
      <c r="P969">
        <v>1</v>
      </c>
      <c r="Q969" t="s">
        <v>26</v>
      </c>
      <c r="R969">
        <v>2</v>
      </c>
      <c r="S969">
        <v>2387</v>
      </c>
      <c r="T969" t="s">
        <v>21</v>
      </c>
    </row>
    <row r="970" spans="1:20" x14ac:dyDescent="0.25">
      <c r="A970">
        <v>36</v>
      </c>
      <c r="B970" t="str">
        <f t="shared" si="15"/>
        <v>35-44</v>
      </c>
      <c r="C970" t="s">
        <v>21</v>
      </c>
      <c r="F970" t="s">
        <v>22</v>
      </c>
      <c r="G970">
        <v>607</v>
      </c>
      <c r="H970" t="s">
        <v>18</v>
      </c>
      <c r="I970">
        <v>7</v>
      </c>
      <c r="J970">
        <v>3</v>
      </c>
      <c r="K970" t="s">
        <v>34</v>
      </c>
      <c r="L970">
        <v>1</v>
      </c>
      <c r="M970">
        <v>1362</v>
      </c>
      <c r="O970">
        <v>1</v>
      </c>
      <c r="P970">
        <v>2</v>
      </c>
      <c r="Q970" t="s">
        <v>20</v>
      </c>
      <c r="R970">
        <v>1</v>
      </c>
      <c r="S970">
        <v>4639</v>
      </c>
      <c r="T970" t="s">
        <v>21</v>
      </c>
    </row>
    <row r="971" spans="1:20" x14ac:dyDescent="0.25">
      <c r="A971">
        <v>48</v>
      </c>
      <c r="B971" t="str">
        <f t="shared" si="15"/>
        <v>45-54</v>
      </c>
      <c r="C971" t="s">
        <v>21</v>
      </c>
      <c r="F971" t="s">
        <v>17</v>
      </c>
      <c r="G971">
        <v>855</v>
      </c>
      <c r="H971" t="s">
        <v>23</v>
      </c>
      <c r="I971">
        <v>4</v>
      </c>
      <c r="J971">
        <v>3</v>
      </c>
      <c r="K971" t="s">
        <v>19</v>
      </c>
      <c r="L971">
        <v>1</v>
      </c>
      <c r="M971">
        <v>1363</v>
      </c>
      <c r="O971">
        <v>4</v>
      </c>
      <c r="P971">
        <v>3</v>
      </c>
      <c r="Q971" t="s">
        <v>28</v>
      </c>
      <c r="R971">
        <v>4</v>
      </c>
      <c r="S971">
        <v>7898</v>
      </c>
      <c r="T971" t="s">
        <v>21</v>
      </c>
    </row>
    <row r="972" spans="1:20" x14ac:dyDescent="0.25">
      <c r="A972">
        <v>27</v>
      </c>
      <c r="B972" t="str">
        <f t="shared" si="15"/>
        <v>25-34</v>
      </c>
      <c r="C972" t="s">
        <v>21</v>
      </c>
      <c r="F972" t="s">
        <v>17</v>
      </c>
      <c r="G972">
        <v>1291</v>
      </c>
      <c r="H972" t="s">
        <v>18</v>
      </c>
      <c r="I972">
        <v>11</v>
      </c>
      <c r="J972">
        <v>3</v>
      </c>
      <c r="K972" t="s">
        <v>27</v>
      </c>
      <c r="L972">
        <v>1</v>
      </c>
      <c r="M972">
        <v>1364</v>
      </c>
      <c r="O972">
        <v>3</v>
      </c>
      <c r="P972">
        <v>1</v>
      </c>
      <c r="Q972" t="s">
        <v>32</v>
      </c>
      <c r="R972">
        <v>4</v>
      </c>
      <c r="S972">
        <v>2534</v>
      </c>
      <c r="T972" t="s">
        <v>21</v>
      </c>
    </row>
    <row r="973" spans="1:20" x14ac:dyDescent="0.25">
      <c r="A973">
        <v>51</v>
      </c>
      <c r="B973" t="str">
        <f t="shared" si="15"/>
        <v>45-54</v>
      </c>
      <c r="C973" t="s">
        <v>21</v>
      </c>
      <c r="F973" t="s">
        <v>17</v>
      </c>
      <c r="G973">
        <v>1405</v>
      </c>
      <c r="H973" t="s">
        <v>23</v>
      </c>
      <c r="I973">
        <v>11</v>
      </c>
      <c r="J973">
        <v>2</v>
      </c>
      <c r="K973" t="s">
        <v>35</v>
      </c>
      <c r="L973">
        <v>1</v>
      </c>
      <c r="M973">
        <v>1367</v>
      </c>
      <c r="O973">
        <v>4</v>
      </c>
      <c r="P973">
        <v>4</v>
      </c>
      <c r="Q973" t="s">
        <v>28</v>
      </c>
      <c r="R973">
        <v>2</v>
      </c>
      <c r="S973">
        <v>13142</v>
      </c>
      <c r="T973" t="s">
        <v>21</v>
      </c>
    </row>
    <row r="974" spans="1:20" x14ac:dyDescent="0.25">
      <c r="A974">
        <v>18</v>
      </c>
      <c r="B974" t="str">
        <f t="shared" si="15"/>
        <v>18-24</v>
      </c>
      <c r="C974" t="s">
        <v>21</v>
      </c>
      <c r="F974" t="s">
        <v>30</v>
      </c>
      <c r="G974">
        <v>1124</v>
      </c>
      <c r="H974" t="s">
        <v>23</v>
      </c>
      <c r="I974">
        <v>1</v>
      </c>
      <c r="J974">
        <v>3</v>
      </c>
      <c r="K974" t="s">
        <v>19</v>
      </c>
      <c r="L974">
        <v>1</v>
      </c>
      <c r="M974">
        <v>1368</v>
      </c>
      <c r="O974">
        <v>4</v>
      </c>
      <c r="P974">
        <v>1</v>
      </c>
      <c r="Q974" t="s">
        <v>26</v>
      </c>
      <c r="R974">
        <v>4</v>
      </c>
      <c r="S974">
        <v>1611</v>
      </c>
      <c r="T974" t="s">
        <v>21</v>
      </c>
    </row>
    <row r="975" spans="1:20" x14ac:dyDescent="0.25">
      <c r="A975">
        <v>35</v>
      </c>
      <c r="B975" t="str">
        <f t="shared" si="15"/>
        <v>35-44</v>
      </c>
      <c r="C975" t="s">
        <v>21</v>
      </c>
      <c r="F975" t="s">
        <v>17</v>
      </c>
      <c r="G975">
        <v>817</v>
      </c>
      <c r="H975" t="s">
        <v>23</v>
      </c>
      <c r="I975">
        <v>1</v>
      </c>
      <c r="J975">
        <v>3</v>
      </c>
      <c r="K975" t="s">
        <v>27</v>
      </c>
      <c r="L975">
        <v>1</v>
      </c>
      <c r="M975">
        <v>1369</v>
      </c>
      <c r="O975">
        <v>4</v>
      </c>
      <c r="P975">
        <v>2</v>
      </c>
      <c r="Q975" t="s">
        <v>26</v>
      </c>
      <c r="R975">
        <v>4</v>
      </c>
      <c r="S975">
        <v>5363</v>
      </c>
      <c r="T975" t="s">
        <v>21</v>
      </c>
    </row>
    <row r="976" spans="1:20" x14ac:dyDescent="0.25">
      <c r="A976">
        <v>27</v>
      </c>
      <c r="B976" t="str">
        <f t="shared" si="15"/>
        <v>25-34</v>
      </c>
      <c r="C976" t="s">
        <v>21</v>
      </c>
      <c r="F976" t="s">
        <v>22</v>
      </c>
      <c r="G976">
        <v>793</v>
      </c>
      <c r="H976" t="s">
        <v>18</v>
      </c>
      <c r="I976">
        <v>2</v>
      </c>
      <c r="J976">
        <v>1</v>
      </c>
      <c r="K976" t="s">
        <v>19</v>
      </c>
      <c r="L976">
        <v>1</v>
      </c>
      <c r="M976">
        <v>1371</v>
      </c>
      <c r="O976">
        <v>4</v>
      </c>
      <c r="P976">
        <v>2</v>
      </c>
      <c r="Q976" t="s">
        <v>20</v>
      </c>
      <c r="R976">
        <v>4</v>
      </c>
      <c r="S976">
        <v>5071</v>
      </c>
      <c r="T976" t="s">
        <v>21</v>
      </c>
    </row>
    <row r="977" spans="1:20" x14ac:dyDescent="0.25">
      <c r="A977">
        <v>55</v>
      </c>
      <c r="B977" t="str">
        <f t="shared" si="15"/>
        <v>55+</v>
      </c>
      <c r="C977" t="s">
        <v>16</v>
      </c>
      <c r="F977" t="s">
        <v>17</v>
      </c>
      <c r="G977">
        <v>267</v>
      </c>
      <c r="H977" t="s">
        <v>18</v>
      </c>
      <c r="I977">
        <v>13</v>
      </c>
      <c r="J977">
        <v>4</v>
      </c>
      <c r="K977" t="s">
        <v>34</v>
      </c>
      <c r="L977">
        <v>1</v>
      </c>
      <c r="M977">
        <v>1372</v>
      </c>
      <c r="O977">
        <v>1</v>
      </c>
      <c r="P977">
        <v>4</v>
      </c>
      <c r="Q977" t="s">
        <v>20</v>
      </c>
      <c r="R977">
        <v>3</v>
      </c>
      <c r="S977">
        <v>13695</v>
      </c>
      <c r="T977" t="s">
        <v>16</v>
      </c>
    </row>
    <row r="978" spans="1:20" x14ac:dyDescent="0.25">
      <c r="A978">
        <v>56</v>
      </c>
      <c r="B978" t="str">
        <f t="shared" si="15"/>
        <v>55+</v>
      </c>
      <c r="C978" t="s">
        <v>21</v>
      </c>
      <c r="F978" t="s">
        <v>17</v>
      </c>
      <c r="G978">
        <v>1369</v>
      </c>
      <c r="H978" t="s">
        <v>23</v>
      </c>
      <c r="I978">
        <v>23</v>
      </c>
      <c r="J978">
        <v>3</v>
      </c>
      <c r="K978" t="s">
        <v>19</v>
      </c>
      <c r="L978">
        <v>1</v>
      </c>
      <c r="M978">
        <v>1373</v>
      </c>
      <c r="O978">
        <v>4</v>
      </c>
      <c r="P978">
        <v>4</v>
      </c>
      <c r="Q978" t="s">
        <v>28</v>
      </c>
      <c r="R978">
        <v>2</v>
      </c>
      <c r="S978">
        <v>13402</v>
      </c>
      <c r="T978" t="s">
        <v>16</v>
      </c>
    </row>
    <row r="979" spans="1:20" x14ac:dyDescent="0.25">
      <c r="A979">
        <v>34</v>
      </c>
      <c r="B979" t="str">
        <f t="shared" si="15"/>
        <v>25-34</v>
      </c>
      <c r="C979" t="s">
        <v>21</v>
      </c>
      <c r="F979" t="s">
        <v>30</v>
      </c>
      <c r="G979">
        <v>999</v>
      </c>
      <c r="H979" t="s">
        <v>23</v>
      </c>
      <c r="I979">
        <v>26</v>
      </c>
      <c r="J979">
        <v>1</v>
      </c>
      <c r="K979" t="s">
        <v>35</v>
      </c>
      <c r="L979">
        <v>1</v>
      </c>
      <c r="M979">
        <v>1374</v>
      </c>
      <c r="O979">
        <v>1</v>
      </c>
      <c r="P979">
        <v>1</v>
      </c>
      <c r="Q979" t="s">
        <v>24</v>
      </c>
      <c r="R979">
        <v>3</v>
      </c>
      <c r="S979">
        <v>2029</v>
      </c>
      <c r="T979" t="s">
        <v>21</v>
      </c>
    </row>
    <row r="980" spans="1:20" x14ac:dyDescent="0.25">
      <c r="A980">
        <v>40</v>
      </c>
      <c r="B980" t="str">
        <f t="shared" si="15"/>
        <v>35-44</v>
      </c>
      <c r="C980" t="s">
        <v>21</v>
      </c>
      <c r="F980" t="s">
        <v>17</v>
      </c>
      <c r="G980">
        <v>1202</v>
      </c>
      <c r="H980" t="s">
        <v>23</v>
      </c>
      <c r="I980">
        <v>2</v>
      </c>
      <c r="J980">
        <v>1</v>
      </c>
      <c r="K980" t="s">
        <v>27</v>
      </c>
      <c r="L980">
        <v>1</v>
      </c>
      <c r="M980">
        <v>1375</v>
      </c>
      <c r="O980">
        <v>2</v>
      </c>
      <c r="P980">
        <v>2</v>
      </c>
      <c r="Q980" t="s">
        <v>29</v>
      </c>
      <c r="R980">
        <v>3</v>
      </c>
      <c r="S980">
        <v>6377</v>
      </c>
      <c r="T980" t="s">
        <v>21</v>
      </c>
    </row>
    <row r="981" spans="1:20" x14ac:dyDescent="0.25">
      <c r="A981">
        <v>34</v>
      </c>
      <c r="B981" t="str">
        <f t="shared" si="15"/>
        <v>25-34</v>
      </c>
      <c r="C981" t="s">
        <v>21</v>
      </c>
      <c r="F981" t="s">
        <v>17</v>
      </c>
      <c r="G981">
        <v>285</v>
      </c>
      <c r="H981" t="s">
        <v>23</v>
      </c>
      <c r="I981">
        <v>29</v>
      </c>
      <c r="J981">
        <v>3</v>
      </c>
      <c r="K981" t="s">
        <v>27</v>
      </c>
      <c r="L981">
        <v>1</v>
      </c>
      <c r="M981">
        <v>1377</v>
      </c>
      <c r="O981">
        <v>2</v>
      </c>
      <c r="P981">
        <v>2</v>
      </c>
      <c r="Q981" t="s">
        <v>26</v>
      </c>
      <c r="R981">
        <v>3</v>
      </c>
      <c r="S981">
        <v>5429</v>
      </c>
      <c r="T981" t="s">
        <v>21</v>
      </c>
    </row>
    <row r="982" spans="1:20" x14ac:dyDescent="0.25">
      <c r="A982">
        <v>31</v>
      </c>
      <c r="B982" t="str">
        <f t="shared" si="15"/>
        <v>25-34</v>
      </c>
      <c r="C982" t="s">
        <v>16</v>
      </c>
      <c r="F982" t="s">
        <v>22</v>
      </c>
      <c r="G982">
        <v>703</v>
      </c>
      <c r="H982" t="s">
        <v>18</v>
      </c>
      <c r="I982">
        <v>2</v>
      </c>
      <c r="J982">
        <v>3</v>
      </c>
      <c r="K982" t="s">
        <v>19</v>
      </c>
      <c r="L982">
        <v>1</v>
      </c>
      <c r="M982">
        <v>1379</v>
      </c>
      <c r="O982">
        <v>3</v>
      </c>
      <c r="P982">
        <v>1</v>
      </c>
      <c r="Q982" t="s">
        <v>32</v>
      </c>
      <c r="R982">
        <v>4</v>
      </c>
      <c r="S982">
        <v>2785</v>
      </c>
      <c r="T982" t="s">
        <v>21</v>
      </c>
    </row>
    <row r="983" spans="1:20" x14ac:dyDescent="0.25">
      <c r="A983">
        <v>35</v>
      </c>
      <c r="B983" t="str">
        <f t="shared" si="15"/>
        <v>35-44</v>
      </c>
      <c r="C983" t="s">
        <v>16</v>
      </c>
      <c r="F983" t="s">
        <v>22</v>
      </c>
      <c r="G983">
        <v>662</v>
      </c>
      <c r="H983" t="s">
        <v>18</v>
      </c>
      <c r="I983">
        <v>18</v>
      </c>
      <c r="J983">
        <v>4</v>
      </c>
      <c r="K983" t="s">
        <v>34</v>
      </c>
      <c r="L983">
        <v>1</v>
      </c>
      <c r="M983">
        <v>1380</v>
      </c>
      <c r="O983">
        <v>4</v>
      </c>
      <c r="P983">
        <v>2</v>
      </c>
      <c r="Q983" t="s">
        <v>20</v>
      </c>
      <c r="R983">
        <v>3</v>
      </c>
      <c r="S983">
        <v>4614</v>
      </c>
      <c r="T983" t="s">
        <v>16</v>
      </c>
    </row>
    <row r="984" spans="1:20" x14ac:dyDescent="0.25">
      <c r="A984">
        <v>38</v>
      </c>
      <c r="B984" t="str">
        <f t="shared" si="15"/>
        <v>35-44</v>
      </c>
      <c r="C984" t="s">
        <v>21</v>
      </c>
      <c r="F984" t="s">
        <v>22</v>
      </c>
      <c r="G984">
        <v>693</v>
      </c>
      <c r="H984" t="s">
        <v>23</v>
      </c>
      <c r="I984">
        <v>7</v>
      </c>
      <c r="J984">
        <v>3</v>
      </c>
      <c r="K984" t="s">
        <v>19</v>
      </c>
      <c r="L984">
        <v>1</v>
      </c>
      <c r="M984">
        <v>1382</v>
      </c>
      <c r="O984">
        <v>4</v>
      </c>
      <c r="P984">
        <v>1</v>
      </c>
      <c r="Q984" t="s">
        <v>24</v>
      </c>
      <c r="R984">
        <v>3</v>
      </c>
      <c r="S984">
        <v>2610</v>
      </c>
      <c r="T984" t="s">
        <v>21</v>
      </c>
    </row>
    <row r="985" spans="1:20" x14ac:dyDescent="0.25">
      <c r="A985">
        <v>34</v>
      </c>
      <c r="B985" t="str">
        <f t="shared" si="15"/>
        <v>25-34</v>
      </c>
      <c r="C985" t="s">
        <v>21</v>
      </c>
      <c r="F985" t="s">
        <v>17</v>
      </c>
      <c r="G985">
        <v>404</v>
      </c>
      <c r="H985" t="s">
        <v>23</v>
      </c>
      <c r="I985">
        <v>2</v>
      </c>
      <c r="J985">
        <v>4</v>
      </c>
      <c r="K985" t="s">
        <v>35</v>
      </c>
      <c r="L985">
        <v>1</v>
      </c>
      <c r="M985">
        <v>1383</v>
      </c>
      <c r="O985">
        <v>3</v>
      </c>
      <c r="P985">
        <v>2</v>
      </c>
      <c r="Q985" t="s">
        <v>29</v>
      </c>
      <c r="R985">
        <v>4</v>
      </c>
      <c r="S985">
        <v>6687</v>
      </c>
      <c r="T985" t="s">
        <v>21</v>
      </c>
    </row>
    <row r="986" spans="1:20" x14ac:dyDescent="0.25">
      <c r="A986">
        <v>28</v>
      </c>
      <c r="B986" t="str">
        <f t="shared" si="15"/>
        <v>25-34</v>
      </c>
      <c r="C986" t="s">
        <v>21</v>
      </c>
      <c r="F986" t="s">
        <v>17</v>
      </c>
      <c r="G986">
        <v>736</v>
      </c>
      <c r="H986" t="s">
        <v>18</v>
      </c>
      <c r="I986">
        <v>26</v>
      </c>
      <c r="J986">
        <v>3</v>
      </c>
      <c r="K986" t="s">
        <v>19</v>
      </c>
      <c r="L986">
        <v>1</v>
      </c>
      <c r="M986">
        <v>1387</v>
      </c>
      <c r="O986">
        <v>3</v>
      </c>
      <c r="P986">
        <v>2</v>
      </c>
      <c r="Q986" t="s">
        <v>20</v>
      </c>
      <c r="R986">
        <v>1</v>
      </c>
      <c r="S986">
        <v>4724</v>
      </c>
      <c r="T986" t="s">
        <v>21</v>
      </c>
    </row>
    <row r="987" spans="1:20" x14ac:dyDescent="0.25">
      <c r="A987">
        <v>31</v>
      </c>
      <c r="B987" t="str">
        <f t="shared" si="15"/>
        <v>25-34</v>
      </c>
      <c r="C987" t="s">
        <v>16</v>
      </c>
      <c r="F987" t="s">
        <v>17</v>
      </c>
      <c r="G987">
        <v>330</v>
      </c>
      <c r="H987" t="s">
        <v>23</v>
      </c>
      <c r="I987">
        <v>22</v>
      </c>
      <c r="J987">
        <v>4</v>
      </c>
      <c r="K987" t="s">
        <v>27</v>
      </c>
      <c r="L987">
        <v>1</v>
      </c>
      <c r="M987">
        <v>1389</v>
      </c>
      <c r="O987">
        <v>4</v>
      </c>
      <c r="P987">
        <v>2</v>
      </c>
      <c r="Q987" t="s">
        <v>28</v>
      </c>
      <c r="R987">
        <v>3</v>
      </c>
      <c r="S987">
        <v>6179</v>
      </c>
      <c r="T987" t="s">
        <v>16</v>
      </c>
    </row>
    <row r="988" spans="1:20" x14ac:dyDescent="0.25">
      <c r="A988">
        <v>39</v>
      </c>
      <c r="B988" t="str">
        <f t="shared" si="15"/>
        <v>35-44</v>
      </c>
      <c r="C988" t="s">
        <v>21</v>
      </c>
      <c r="F988" t="s">
        <v>17</v>
      </c>
      <c r="G988">
        <v>1498</v>
      </c>
      <c r="H988" t="s">
        <v>18</v>
      </c>
      <c r="I988">
        <v>21</v>
      </c>
      <c r="J988">
        <v>4</v>
      </c>
      <c r="K988" t="s">
        <v>19</v>
      </c>
      <c r="L988">
        <v>1</v>
      </c>
      <c r="M988">
        <v>1390</v>
      </c>
      <c r="O988">
        <v>1</v>
      </c>
      <c r="P988">
        <v>2</v>
      </c>
      <c r="Q988" t="s">
        <v>20</v>
      </c>
      <c r="R988">
        <v>4</v>
      </c>
      <c r="S988">
        <v>6120</v>
      </c>
      <c r="T988" t="s">
        <v>16</v>
      </c>
    </row>
    <row r="989" spans="1:20" x14ac:dyDescent="0.25">
      <c r="A989">
        <v>51</v>
      </c>
      <c r="B989" t="str">
        <f t="shared" si="15"/>
        <v>45-54</v>
      </c>
      <c r="C989" t="s">
        <v>21</v>
      </c>
      <c r="F989" t="s">
        <v>22</v>
      </c>
      <c r="G989">
        <v>541</v>
      </c>
      <c r="H989" t="s">
        <v>18</v>
      </c>
      <c r="I989">
        <v>2</v>
      </c>
      <c r="J989">
        <v>3</v>
      </c>
      <c r="K989" t="s">
        <v>34</v>
      </c>
      <c r="L989">
        <v>1</v>
      </c>
      <c r="M989">
        <v>1391</v>
      </c>
      <c r="O989">
        <v>2</v>
      </c>
      <c r="P989">
        <v>3</v>
      </c>
      <c r="Q989" t="s">
        <v>20</v>
      </c>
      <c r="R989">
        <v>2</v>
      </c>
      <c r="S989">
        <v>10596</v>
      </c>
      <c r="T989" t="s">
        <v>21</v>
      </c>
    </row>
    <row r="990" spans="1:20" x14ac:dyDescent="0.25">
      <c r="A990">
        <v>41</v>
      </c>
      <c r="B990" t="str">
        <f t="shared" si="15"/>
        <v>35-44</v>
      </c>
      <c r="C990" t="s">
        <v>21</v>
      </c>
      <c r="F990" t="s">
        <v>22</v>
      </c>
      <c r="G990">
        <v>1200</v>
      </c>
      <c r="H990" t="s">
        <v>23</v>
      </c>
      <c r="I990">
        <v>22</v>
      </c>
      <c r="J990">
        <v>3</v>
      </c>
      <c r="K990" t="s">
        <v>19</v>
      </c>
      <c r="L990">
        <v>1</v>
      </c>
      <c r="M990">
        <v>1392</v>
      </c>
      <c r="O990">
        <v>4</v>
      </c>
      <c r="P990">
        <v>2</v>
      </c>
      <c r="Q990" t="s">
        <v>24</v>
      </c>
      <c r="R990">
        <v>4</v>
      </c>
      <c r="S990">
        <v>5467</v>
      </c>
      <c r="T990" t="s">
        <v>16</v>
      </c>
    </row>
    <row r="991" spans="1:20" x14ac:dyDescent="0.25">
      <c r="A991">
        <v>37</v>
      </c>
      <c r="B991" t="str">
        <f t="shared" si="15"/>
        <v>35-44</v>
      </c>
      <c r="C991" t="s">
        <v>21</v>
      </c>
      <c r="F991" t="s">
        <v>17</v>
      </c>
      <c r="G991">
        <v>1439</v>
      </c>
      <c r="H991" t="s">
        <v>23</v>
      </c>
      <c r="I991">
        <v>4</v>
      </c>
      <c r="J991">
        <v>1</v>
      </c>
      <c r="K991" t="s">
        <v>19</v>
      </c>
      <c r="L991">
        <v>1</v>
      </c>
      <c r="M991">
        <v>1394</v>
      </c>
      <c r="O991">
        <v>3</v>
      </c>
      <c r="P991">
        <v>1</v>
      </c>
      <c r="Q991" t="s">
        <v>24</v>
      </c>
      <c r="R991">
        <v>3</v>
      </c>
      <c r="S991">
        <v>2996</v>
      </c>
      <c r="T991" t="s">
        <v>16</v>
      </c>
    </row>
    <row r="992" spans="1:20" x14ac:dyDescent="0.25">
      <c r="A992">
        <v>33</v>
      </c>
      <c r="B992" t="str">
        <f t="shared" si="15"/>
        <v>25-34</v>
      </c>
      <c r="C992" t="s">
        <v>21</v>
      </c>
      <c r="F992" t="s">
        <v>22</v>
      </c>
      <c r="G992">
        <v>1111</v>
      </c>
      <c r="H992" t="s">
        <v>18</v>
      </c>
      <c r="I992">
        <v>5</v>
      </c>
      <c r="J992">
        <v>1</v>
      </c>
      <c r="K992" t="s">
        <v>19</v>
      </c>
      <c r="L992">
        <v>1</v>
      </c>
      <c r="M992">
        <v>1395</v>
      </c>
      <c r="O992">
        <v>2</v>
      </c>
      <c r="P992">
        <v>2</v>
      </c>
      <c r="Q992" t="s">
        <v>20</v>
      </c>
      <c r="R992">
        <v>4</v>
      </c>
      <c r="S992">
        <v>9998</v>
      </c>
      <c r="T992" t="s">
        <v>21</v>
      </c>
    </row>
    <row r="993" spans="1:20" x14ac:dyDescent="0.25">
      <c r="A993">
        <v>32</v>
      </c>
      <c r="B993" t="str">
        <f t="shared" si="15"/>
        <v>25-34</v>
      </c>
      <c r="C993" t="s">
        <v>21</v>
      </c>
      <c r="F993" t="s">
        <v>17</v>
      </c>
      <c r="G993">
        <v>499</v>
      </c>
      <c r="H993" t="s">
        <v>18</v>
      </c>
      <c r="I993">
        <v>2</v>
      </c>
      <c r="J993">
        <v>1</v>
      </c>
      <c r="K993" t="s">
        <v>34</v>
      </c>
      <c r="L993">
        <v>1</v>
      </c>
      <c r="M993">
        <v>1396</v>
      </c>
      <c r="O993">
        <v>3</v>
      </c>
      <c r="P993">
        <v>2</v>
      </c>
      <c r="Q993" t="s">
        <v>20</v>
      </c>
      <c r="R993">
        <v>2</v>
      </c>
      <c r="S993">
        <v>4078</v>
      </c>
      <c r="T993" t="s">
        <v>16</v>
      </c>
    </row>
    <row r="994" spans="1:20" x14ac:dyDescent="0.25">
      <c r="A994">
        <v>39</v>
      </c>
      <c r="B994" t="str">
        <f t="shared" si="15"/>
        <v>35-44</v>
      </c>
      <c r="C994" t="s">
        <v>21</v>
      </c>
      <c r="F994" t="s">
        <v>30</v>
      </c>
      <c r="G994">
        <v>1485</v>
      </c>
      <c r="H994" t="s">
        <v>23</v>
      </c>
      <c r="I994">
        <v>25</v>
      </c>
      <c r="J994">
        <v>2</v>
      </c>
      <c r="K994" t="s">
        <v>19</v>
      </c>
      <c r="L994">
        <v>1</v>
      </c>
      <c r="M994">
        <v>1397</v>
      </c>
      <c r="O994">
        <v>3</v>
      </c>
      <c r="P994">
        <v>3</v>
      </c>
      <c r="Q994" t="s">
        <v>29</v>
      </c>
      <c r="R994">
        <v>3</v>
      </c>
      <c r="S994">
        <v>10920</v>
      </c>
      <c r="T994" t="s">
        <v>21</v>
      </c>
    </row>
    <row r="995" spans="1:20" x14ac:dyDescent="0.25">
      <c r="A995">
        <v>25</v>
      </c>
      <c r="B995" t="str">
        <f t="shared" si="15"/>
        <v>25-34</v>
      </c>
      <c r="C995" t="s">
        <v>21</v>
      </c>
      <c r="F995" t="s">
        <v>17</v>
      </c>
      <c r="G995">
        <v>1372</v>
      </c>
      <c r="H995" t="s">
        <v>18</v>
      </c>
      <c r="I995">
        <v>18</v>
      </c>
      <c r="J995">
        <v>1</v>
      </c>
      <c r="K995" t="s">
        <v>19</v>
      </c>
      <c r="L995">
        <v>1</v>
      </c>
      <c r="M995">
        <v>1399</v>
      </c>
      <c r="O995">
        <v>1</v>
      </c>
      <c r="P995">
        <v>2</v>
      </c>
      <c r="Q995" t="s">
        <v>20</v>
      </c>
      <c r="R995">
        <v>3</v>
      </c>
      <c r="S995">
        <v>6232</v>
      </c>
      <c r="T995" t="s">
        <v>21</v>
      </c>
    </row>
    <row r="996" spans="1:20" x14ac:dyDescent="0.25">
      <c r="A996">
        <v>52</v>
      </c>
      <c r="B996" t="str">
        <f t="shared" si="15"/>
        <v>45-54</v>
      </c>
      <c r="C996" t="s">
        <v>21</v>
      </c>
      <c r="F996" t="s">
        <v>22</v>
      </c>
      <c r="G996">
        <v>322</v>
      </c>
      <c r="H996" t="s">
        <v>23</v>
      </c>
      <c r="I996">
        <v>28</v>
      </c>
      <c r="J996">
        <v>2</v>
      </c>
      <c r="K996" t="s">
        <v>27</v>
      </c>
      <c r="L996">
        <v>1</v>
      </c>
      <c r="M996">
        <v>1401</v>
      </c>
      <c r="O996">
        <v>4</v>
      </c>
      <c r="P996">
        <v>4</v>
      </c>
      <c r="Q996" t="s">
        <v>28</v>
      </c>
      <c r="R996">
        <v>3</v>
      </c>
      <c r="S996">
        <v>13247</v>
      </c>
      <c r="T996" t="s">
        <v>16</v>
      </c>
    </row>
    <row r="997" spans="1:20" x14ac:dyDescent="0.25">
      <c r="A997">
        <v>43</v>
      </c>
      <c r="B997" t="str">
        <f t="shared" si="15"/>
        <v>35-44</v>
      </c>
      <c r="C997" t="s">
        <v>21</v>
      </c>
      <c r="F997" t="s">
        <v>17</v>
      </c>
      <c r="G997">
        <v>930</v>
      </c>
      <c r="H997" t="s">
        <v>23</v>
      </c>
      <c r="I997">
        <v>6</v>
      </c>
      <c r="J997">
        <v>3</v>
      </c>
      <c r="K997" t="s">
        <v>27</v>
      </c>
      <c r="L997">
        <v>1</v>
      </c>
      <c r="M997">
        <v>1402</v>
      </c>
      <c r="O997">
        <v>1</v>
      </c>
      <c r="P997">
        <v>2</v>
      </c>
      <c r="Q997" t="s">
        <v>24</v>
      </c>
      <c r="R997">
        <v>3</v>
      </c>
      <c r="S997">
        <v>4081</v>
      </c>
      <c r="T997" t="s">
        <v>16</v>
      </c>
    </row>
    <row r="998" spans="1:20" x14ac:dyDescent="0.25">
      <c r="A998">
        <v>27</v>
      </c>
      <c r="B998" t="str">
        <f t="shared" si="15"/>
        <v>25-34</v>
      </c>
      <c r="C998" t="s">
        <v>21</v>
      </c>
      <c r="F998" t="s">
        <v>17</v>
      </c>
      <c r="G998">
        <v>205</v>
      </c>
      <c r="H998" t="s">
        <v>18</v>
      </c>
      <c r="I998">
        <v>10</v>
      </c>
      <c r="J998">
        <v>3</v>
      </c>
      <c r="K998" t="s">
        <v>34</v>
      </c>
      <c r="L998">
        <v>1</v>
      </c>
      <c r="M998">
        <v>1403</v>
      </c>
      <c r="O998">
        <v>4</v>
      </c>
      <c r="P998">
        <v>2</v>
      </c>
      <c r="Q998" t="s">
        <v>20</v>
      </c>
      <c r="R998">
        <v>4</v>
      </c>
      <c r="S998">
        <v>5769</v>
      </c>
      <c r="T998" t="s">
        <v>16</v>
      </c>
    </row>
    <row r="999" spans="1:20" x14ac:dyDescent="0.25">
      <c r="A999">
        <v>27</v>
      </c>
      <c r="B999" t="str">
        <f t="shared" si="15"/>
        <v>25-34</v>
      </c>
      <c r="C999" t="s">
        <v>16</v>
      </c>
      <c r="F999" t="s">
        <v>17</v>
      </c>
      <c r="G999">
        <v>135</v>
      </c>
      <c r="H999" t="s">
        <v>23</v>
      </c>
      <c r="I999">
        <v>17</v>
      </c>
      <c r="J999">
        <v>4</v>
      </c>
      <c r="K999" t="s">
        <v>19</v>
      </c>
      <c r="L999">
        <v>1</v>
      </c>
      <c r="M999">
        <v>1405</v>
      </c>
      <c r="O999">
        <v>4</v>
      </c>
      <c r="P999">
        <v>1</v>
      </c>
      <c r="Q999" t="s">
        <v>24</v>
      </c>
      <c r="R999">
        <v>3</v>
      </c>
      <c r="S999">
        <v>2394</v>
      </c>
      <c r="T999" t="s">
        <v>16</v>
      </c>
    </row>
    <row r="1000" spans="1:20" x14ac:dyDescent="0.25">
      <c r="A1000">
        <v>26</v>
      </c>
      <c r="B1000" t="str">
        <f t="shared" si="15"/>
        <v>25-34</v>
      </c>
      <c r="C1000" t="s">
        <v>21</v>
      </c>
      <c r="F1000" t="s">
        <v>17</v>
      </c>
      <c r="G1000">
        <v>683</v>
      </c>
      <c r="H1000" t="s">
        <v>23</v>
      </c>
      <c r="I1000">
        <v>2</v>
      </c>
      <c r="J1000">
        <v>1</v>
      </c>
      <c r="K1000" t="s">
        <v>27</v>
      </c>
      <c r="L1000">
        <v>1</v>
      </c>
      <c r="M1000">
        <v>1407</v>
      </c>
      <c r="O1000">
        <v>1</v>
      </c>
      <c r="P1000">
        <v>1</v>
      </c>
      <c r="Q1000" t="s">
        <v>24</v>
      </c>
      <c r="R1000">
        <v>4</v>
      </c>
      <c r="S1000">
        <v>3904</v>
      </c>
      <c r="T1000" t="s">
        <v>21</v>
      </c>
    </row>
    <row r="1001" spans="1:20" x14ac:dyDescent="0.25">
      <c r="A1001">
        <v>42</v>
      </c>
      <c r="B1001" t="str">
        <f t="shared" si="15"/>
        <v>35-44</v>
      </c>
      <c r="C1001" t="s">
        <v>21</v>
      </c>
      <c r="F1001" t="s">
        <v>17</v>
      </c>
      <c r="G1001">
        <v>1147</v>
      </c>
      <c r="H1001" t="s">
        <v>36</v>
      </c>
      <c r="I1001">
        <v>10</v>
      </c>
      <c r="J1001">
        <v>3</v>
      </c>
      <c r="K1001" t="s">
        <v>36</v>
      </c>
      <c r="L1001">
        <v>1</v>
      </c>
      <c r="M1001">
        <v>1408</v>
      </c>
      <c r="O1001">
        <v>3</v>
      </c>
      <c r="P1001">
        <v>4</v>
      </c>
      <c r="Q1001" t="s">
        <v>31</v>
      </c>
      <c r="R1001">
        <v>1</v>
      </c>
      <c r="S1001">
        <v>16799</v>
      </c>
      <c r="T1001" t="s">
        <v>21</v>
      </c>
    </row>
    <row r="1002" spans="1:20" x14ac:dyDescent="0.25">
      <c r="A1002">
        <v>52</v>
      </c>
      <c r="B1002" t="str">
        <f t="shared" si="15"/>
        <v>45-54</v>
      </c>
      <c r="C1002" t="s">
        <v>21</v>
      </c>
      <c r="F1002" t="s">
        <v>17</v>
      </c>
      <c r="G1002">
        <v>258</v>
      </c>
      <c r="H1002" t="s">
        <v>23</v>
      </c>
      <c r="I1002">
        <v>8</v>
      </c>
      <c r="J1002">
        <v>4</v>
      </c>
      <c r="K1002" t="s">
        <v>25</v>
      </c>
      <c r="L1002">
        <v>1</v>
      </c>
      <c r="M1002">
        <v>1409</v>
      </c>
      <c r="O1002">
        <v>3</v>
      </c>
      <c r="P1002">
        <v>1</v>
      </c>
      <c r="Q1002" t="s">
        <v>26</v>
      </c>
      <c r="R1002">
        <v>1</v>
      </c>
      <c r="S1002">
        <v>2950</v>
      </c>
      <c r="T1002" t="s">
        <v>21</v>
      </c>
    </row>
    <row r="1003" spans="1:20" x14ac:dyDescent="0.25">
      <c r="A1003">
        <v>37</v>
      </c>
      <c r="B1003" t="str">
        <f t="shared" si="15"/>
        <v>35-44</v>
      </c>
      <c r="C1003" t="s">
        <v>21</v>
      </c>
      <c r="F1003" t="s">
        <v>17</v>
      </c>
      <c r="G1003">
        <v>1462</v>
      </c>
      <c r="H1003" t="s">
        <v>23</v>
      </c>
      <c r="I1003">
        <v>11</v>
      </c>
      <c r="J1003">
        <v>3</v>
      </c>
      <c r="K1003" t="s">
        <v>27</v>
      </c>
      <c r="L1003">
        <v>1</v>
      </c>
      <c r="M1003">
        <v>1411</v>
      </c>
      <c r="O1003">
        <v>1</v>
      </c>
      <c r="P1003">
        <v>1</v>
      </c>
      <c r="Q1003" t="s">
        <v>26</v>
      </c>
      <c r="R1003">
        <v>3</v>
      </c>
      <c r="S1003">
        <v>3629</v>
      </c>
      <c r="T1003" t="s">
        <v>21</v>
      </c>
    </row>
    <row r="1004" spans="1:20" x14ac:dyDescent="0.25">
      <c r="A1004">
        <v>35</v>
      </c>
      <c r="B1004" t="str">
        <f t="shared" si="15"/>
        <v>35-44</v>
      </c>
      <c r="C1004" t="s">
        <v>21</v>
      </c>
      <c r="F1004" t="s">
        <v>22</v>
      </c>
      <c r="G1004">
        <v>200</v>
      </c>
      <c r="H1004" t="s">
        <v>23</v>
      </c>
      <c r="I1004">
        <v>18</v>
      </c>
      <c r="J1004">
        <v>2</v>
      </c>
      <c r="K1004" t="s">
        <v>19</v>
      </c>
      <c r="L1004">
        <v>1</v>
      </c>
      <c r="M1004">
        <v>1412</v>
      </c>
      <c r="O1004">
        <v>3</v>
      </c>
      <c r="P1004">
        <v>3</v>
      </c>
      <c r="Q1004" t="s">
        <v>28</v>
      </c>
      <c r="R1004">
        <v>4</v>
      </c>
      <c r="S1004">
        <v>9362</v>
      </c>
      <c r="T1004" t="s">
        <v>21</v>
      </c>
    </row>
    <row r="1005" spans="1:20" x14ac:dyDescent="0.25">
      <c r="A1005">
        <v>25</v>
      </c>
      <c r="B1005" t="str">
        <f t="shared" si="15"/>
        <v>25-34</v>
      </c>
      <c r="C1005" t="s">
        <v>21</v>
      </c>
      <c r="F1005" t="s">
        <v>17</v>
      </c>
      <c r="G1005">
        <v>949</v>
      </c>
      <c r="H1005" t="s">
        <v>23</v>
      </c>
      <c r="I1005">
        <v>1</v>
      </c>
      <c r="J1005">
        <v>3</v>
      </c>
      <c r="K1005" t="s">
        <v>35</v>
      </c>
      <c r="L1005">
        <v>1</v>
      </c>
      <c r="M1005">
        <v>1415</v>
      </c>
      <c r="O1005">
        <v>1</v>
      </c>
      <c r="P1005">
        <v>1</v>
      </c>
      <c r="Q1005" t="s">
        <v>26</v>
      </c>
      <c r="R1005">
        <v>4</v>
      </c>
      <c r="S1005">
        <v>3229</v>
      </c>
      <c r="T1005" t="s">
        <v>21</v>
      </c>
    </row>
    <row r="1006" spans="1:20" x14ac:dyDescent="0.25">
      <c r="A1006">
        <v>26</v>
      </c>
      <c r="B1006" t="str">
        <f t="shared" si="15"/>
        <v>25-34</v>
      </c>
      <c r="C1006" t="s">
        <v>21</v>
      </c>
      <c r="F1006" t="s">
        <v>17</v>
      </c>
      <c r="G1006">
        <v>652</v>
      </c>
      <c r="H1006" t="s">
        <v>23</v>
      </c>
      <c r="I1006">
        <v>7</v>
      </c>
      <c r="J1006">
        <v>3</v>
      </c>
      <c r="K1006" t="s">
        <v>25</v>
      </c>
      <c r="L1006">
        <v>1</v>
      </c>
      <c r="M1006">
        <v>1417</v>
      </c>
      <c r="O1006">
        <v>3</v>
      </c>
      <c r="P1006">
        <v>1</v>
      </c>
      <c r="Q1006" t="s">
        <v>26</v>
      </c>
      <c r="R1006">
        <v>1</v>
      </c>
      <c r="S1006">
        <v>3578</v>
      </c>
      <c r="T1006" t="s">
        <v>21</v>
      </c>
    </row>
    <row r="1007" spans="1:20" x14ac:dyDescent="0.25">
      <c r="A1007">
        <v>29</v>
      </c>
      <c r="B1007" t="str">
        <f t="shared" si="15"/>
        <v>25-34</v>
      </c>
      <c r="C1007" t="s">
        <v>21</v>
      </c>
      <c r="F1007" t="s">
        <v>17</v>
      </c>
      <c r="G1007">
        <v>332</v>
      </c>
      <c r="H1007" t="s">
        <v>36</v>
      </c>
      <c r="I1007">
        <v>17</v>
      </c>
      <c r="J1007">
        <v>3</v>
      </c>
      <c r="K1007" t="s">
        <v>25</v>
      </c>
      <c r="L1007">
        <v>1</v>
      </c>
      <c r="M1007">
        <v>1419</v>
      </c>
      <c r="O1007">
        <v>2</v>
      </c>
      <c r="P1007">
        <v>3</v>
      </c>
      <c r="Q1007" t="s">
        <v>36</v>
      </c>
      <c r="R1007">
        <v>1</v>
      </c>
      <c r="S1007">
        <v>7988</v>
      </c>
      <c r="T1007" t="s">
        <v>21</v>
      </c>
    </row>
    <row r="1008" spans="1:20" x14ac:dyDescent="0.25">
      <c r="A1008">
        <v>49</v>
      </c>
      <c r="B1008" t="str">
        <f t="shared" si="15"/>
        <v>45-54</v>
      </c>
      <c r="C1008" t="s">
        <v>16</v>
      </c>
      <c r="F1008" t="s">
        <v>22</v>
      </c>
      <c r="G1008">
        <v>1475</v>
      </c>
      <c r="H1008" t="s">
        <v>23</v>
      </c>
      <c r="I1008">
        <v>28</v>
      </c>
      <c r="J1008">
        <v>2</v>
      </c>
      <c r="K1008" t="s">
        <v>19</v>
      </c>
      <c r="L1008">
        <v>1</v>
      </c>
      <c r="M1008">
        <v>1420</v>
      </c>
      <c r="O1008">
        <v>1</v>
      </c>
      <c r="P1008">
        <v>2</v>
      </c>
      <c r="Q1008" t="s">
        <v>26</v>
      </c>
      <c r="R1008">
        <v>1</v>
      </c>
      <c r="S1008">
        <v>4284</v>
      </c>
      <c r="T1008" t="s">
        <v>21</v>
      </c>
    </row>
    <row r="1009" spans="1:20" x14ac:dyDescent="0.25">
      <c r="A1009">
        <v>29</v>
      </c>
      <c r="B1009" t="str">
        <f t="shared" si="15"/>
        <v>25-34</v>
      </c>
      <c r="C1009" t="s">
        <v>16</v>
      </c>
      <c r="F1009" t="s">
        <v>22</v>
      </c>
      <c r="G1009">
        <v>337</v>
      </c>
      <c r="H1009" t="s">
        <v>23</v>
      </c>
      <c r="I1009">
        <v>14</v>
      </c>
      <c r="J1009">
        <v>1</v>
      </c>
      <c r="K1009" t="s">
        <v>25</v>
      </c>
      <c r="L1009">
        <v>1</v>
      </c>
      <c r="M1009">
        <v>1421</v>
      </c>
      <c r="O1009">
        <v>3</v>
      </c>
      <c r="P1009">
        <v>3</v>
      </c>
      <c r="Q1009" t="s">
        <v>29</v>
      </c>
      <c r="R1009">
        <v>4</v>
      </c>
      <c r="S1009">
        <v>7553</v>
      </c>
      <c r="T1009" t="s">
        <v>16</v>
      </c>
    </row>
    <row r="1010" spans="1:20" x14ac:dyDescent="0.25">
      <c r="A1010">
        <v>54</v>
      </c>
      <c r="B1010" t="str">
        <f t="shared" si="15"/>
        <v>45-54</v>
      </c>
      <c r="C1010" t="s">
        <v>21</v>
      </c>
      <c r="F1010" t="s">
        <v>17</v>
      </c>
      <c r="G1010">
        <v>971</v>
      </c>
      <c r="H1010" t="s">
        <v>23</v>
      </c>
      <c r="I1010">
        <v>1</v>
      </c>
      <c r="J1010">
        <v>3</v>
      </c>
      <c r="K1010" t="s">
        <v>27</v>
      </c>
      <c r="L1010">
        <v>1</v>
      </c>
      <c r="M1010">
        <v>1422</v>
      </c>
      <c r="O1010">
        <v>4</v>
      </c>
      <c r="P1010">
        <v>4</v>
      </c>
      <c r="Q1010" t="s">
        <v>33</v>
      </c>
      <c r="R1010">
        <v>4</v>
      </c>
      <c r="S1010">
        <v>17328</v>
      </c>
      <c r="T1010" t="s">
        <v>21</v>
      </c>
    </row>
    <row r="1011" spans="1:20" x14ac:dyDescent="0.25">
      <c r="A1011">
        <v>58</v>
      </c>
      <c r="B1011" t="str">
        <f t="shared" si="15"/>
        <v>55+</v>
      </c>
      <c r="C1011" t="s">
        <v>21</v>
      </c>
      <c r="F1011" t="s">
        <v>17</v>
      </c>
      <c r="G1011">
        <v>1055</v>
      </c>
      <c r="H1011" t="s">
        <v>23</v>
      </c>
      <c r="I1011">
        <v>1</v>
      </c>
      <c r="J1011">
        <v>3</v>
      </c>
      <c r="K1011" t="s">
        <v>27</v>
      </c>
      <c r="L1011">
        <v>1</v>
      </c>
      <c r="M1011">
        <v>1423</v>
      </c>
      <c r="O1011">
        <v>4</v>
      </c>
      <c r="P1011">
        <v>5</v>
      </c>
      <c r="Q1011" t="s">
        <v>33</v>
      </c>
      <c r="R1011">
        <v>1</v>
      </c>
      <c r="S1011">
        <v>19701</v>
      </c>
      <c r="T1011" t="s">
        <v>16</v>
      </c>
    </row>
    <row r="1012" spans="1:20" x14ac:dyDescent="0.25">
      <c r="A1012">
        <v>55</v>
      </c>
      <c r="B1012" t="str">
        <f t="shared" si="15"/>
        <v>55+</v>
      </c>
      <c r="C1012" t="s">
        <v>21</v>
      </c>
      <c r="F1012" t="s">
        <v>17</v>
      </c>
      <c r="G1012">
        <v>1136</v>
      </c>
      <c r="H1012" t="s">
        <v>23</v>
      </c>
      <c r="I1012">
        <v>1</v>
      </c>
      <c r="J1012">
        <v>4</v>
      </c>
      <c r="K1012" t="s">
        <v>27</v>
      </c>
      <c r="L1012">
        <v>1</v>
      </c>
      <c r="M1012">
        <v>1424</v>
      </c>
      <c r="O1012">
        <v>2</v>
      </c>
      <c r="P1012">
        <v>4</v>
      </c>
      <c r="Q1012" t="s">
        <v>33</v>
      </c>
      <c r="R1012">
        <v>4</v>
      </c>
      <c r="S1012">
        <v>14732</v>
      </c>
      <c r="T1012" t="s">
        <v>21</v>
      </c>
    </row>
    <row r="1013" spans="1:20" x14ac:dyDescent="0.25">
      <c r="A1013">
        <v>36</v>
      </c>
      <c r="B1013" t="str">
        <f t="shared" si="15"/>
        <v>35-44</v>
      </c>
      <c r="C1013" t="s">
        <v>21</v>
      </c>
      <c r="F1013" t="s">
        <v>17</v>
      </c>
      <c r="G1013">
        <v>1174</v>
      </c>
      <c r="H1013" t="s">
        <v>18</v>
      </c>
      <c r="I1013">
        <v>3</v>
      </c>
      <c r="J1013">
        <v>4</v>
      </c>
      <c r="K1013" t="s">
        <v>34</v>
      </c>
      <c r="L1013">
        <v>1</v>
      </c>
      <c r="M1013">
        <v>1425</v>
      </c>
      <c r="O1013">
        <v>1</v>
      </c>
      <c r="P1013">
        <v>2</v>
      </c>
      <c r="Q1013" t="s">
        <v>20</v>
      </c>
      <c r="R1013">
        <v>2</v>
      </c>
      <c r="S1013">
        <v>9278</v>
      </c>
      <c r="T1013" t="s">
        <v>16</v>
      </c>
    </row>
    <row r="1014" spans="1:20" x14ac:dyDescent="0.25">
      <c r="A1014">
        <v>31</v>
      </c>
      <c r="B1014" t="str">
        <f t="shared" si="15"/>
        <v>25-34</v>
      </c>
      <c r="C1014" t="s">
        <v>16</v>
      </c>
      <c r="F1014" t="s">
        <v>22</v>
      </c>
      <c r="G1014">
        <v>667</v>
      </c>
      <c r="H1014" t="s">
        <v>18</v>
      </c>
      <c r="I1014">
        <v>1</v>
      </c>
      <c r="J1014">
        <v>4</v>
      </c>
      <c r="K1014" t="s">
        <v>19</v>
      </c>
      <c r="L1014">
        <v>1</v>
      </c>
      <c r="M1014">
        <v>1427</v>
      </c>
      <c r="O1014">
        <v>2</v>
      </c>
      <c r="P1014">
        <v>1</v>
      </c>
      <c r="Q1014" t="s">
        <v>32</v>
      </c>
      <c r="R1014">
        <v>3</v>
      </c>
      <c r="S1014">
        <v>1359</v>
      </c>
      <c r="T1014" t="s">
        <v>21</v>
      </c>
    </row>
    <row r="1015" spans="1:20" x14ac:dyDescent="0.25">
      <c r="A1015">
        <v>30</v>
      </c>
      <c r="B1015" t="str">
        <f t="shared" si="15"/>
        <v>25-34</v>
      </c>
      <c r="C1015" t="s">
        <v>21</v>
      </c>
      <c r="F1015" t="s">
        <v>17</v>
      </c>
      <c r="G1015">
        <v>855</v>
      </c>
      <c r="H1015" t="s">
        <v>18</v>
      </c>
      <c r="I1015">
        <v>7</v>
      </c>
      <c r="J1015">
        <v>4</v>
      </c>
      <c r="K1015" t="s">
        <v>34</v>
      </c>
      <c r="L1015">
        <v>1</v>
      </c>
      <c r="M1015">
        <v>1428</v>
      </c>
      <c r="O1015">
        <v>4</v>
      </c>
      <c r="P1015">
        <v>2</v>
      </c>
      <c r="Q1015" t="s">
        <v>20</v>
      </c>
      <c r="R1015">
        <v>1</v>
      </c>
      <c r="S1015">
        <v>4779</v>
      </c>
      <c r="T1015" t="s">
        <v>21</v>
      </c>
    </row>
    <row r="1016" spans="1:20" x14ac:dyDescent="0.25">
      <c r="A1016">
        <v>31</v>
      </c>
      <c r="B1016" t="str">
        <f t="shared" si="15"/>
        <v>25-34</v>
      </c>
      <c r="C1016" t="s">
        <v>21</v>
      </c>
      <c r="F1016" t="s">
        <v>17</v>
      </c>
      <c r="G1016">
        <v>182</v>
      </c>
      <c r="H1016" t="s">
        <v>23</v>
      </c>
      <c r="I1016">
        <v>8</v>
      </c>
      <c r="J1016">
        <v>5</v>
      </c>
      <c r="K1016" t="s">
        <v>19</v>
      </c>
      <c r="L1016">
        <v>1</v>
      </c>
      <c r="M1016">
        <v>1430</v>
      </c>
      <c r="O1016">
        <v>1</v>
      </c>
      <c r="P1016">
        <v>4</v>
      </c>
      <c r="Q1016" t="s">
        <v>33</v>
      </c>
      <c r="R1016">
        <v>2</v>
      </c>
      <c r="S1016">
        <v>16422</v>
      </c>
      <c r="T1016" t="s">
        <v>21</v>
      </c>
    </row>
    <row r="1017" spans="1:20" x14ac:dyDescent="0.25">
      <c r="A1017">
        <v>34</v>
      </c>
      <c r="B1017" t="str">
        <f t="shared" si="15"/>
        <v>25-34</v>
      </c>
      <c r="C1017" t="s">
        <v>21</v>
      </c>
      <c r="F1017" t="s">
        <v>22</v>
      </c>
      <c r="G1017">
        <v>560</v>
      </c>
      <c r="H1017" t="s">
        <v>23</v>
      </c>
      <c r="I1017">
        <v>1</v>
      </c>
      <c r="J1017">
        <v>4</v>
      </c>
      <c r="K1017" t="s">
        <v>25</v>
      </c>
      <c r="L1017">
        <v>1</v>
      </c>
      <c r="M1017">
        <v>1431</v>
      </c>
      <c r="O1017">
        <v>4</v>
      </c>
      <c r="P1017">
        <v>1</v>
      </c>
      <c r="Q1017" t="s">
        <v>24</v>
      </c>
      <c r="R1017">
        <v>1</v>
      </c>
      <c r="S1017">
        <v>2996</v>
      </c>
      <c r="T1017" t="s">
        <v>21</v>
      </c>
    </row>
    <row r="1018" spans="1:20" x14ac:dyDescent="0.25">
      <c r="A1018">
        <v>31</v>
      </c>
      <c r="B1018" t="str">
        <f t="shared" si="15"/>
        <v>25-34</v>
      </c>
      <c r="C1018" t="s">
        <v>16</v>
      </c>
      <c r="F1018" t="s">
        <v>17</v>
      </c>
      <c r="G1018">
        <v>202</v>
      </c>
      <c r="H1018" t="s">
        <v>23</v>
      </c>
      <c r="I1018">
        <v>8</v>
      </c>
      <c r="J1018">
        <v>3</v>
      </c>
      <c r="K1018" t="s">
        <v>19</v>
      </c>
      <c r="L1018">
        <v>1</v>
      </c>
      <c r="M1018">
        <v>1433</v>
      </c>
      <c r="O1018">
        <v>1</v>
      </c>
      <c r="P1018">
        <v>1</v>
      </c>
      <c r="Q1018" t="s">
        <v>24</v>
      </c>
      <c r="R1018">
        <v>2</v>
      </c>
      <c r="S1018">
        <v>1261</v>
      </c>
      <c r="T1018" t="s">
        <v>21</v>
      </c>
    </row>
    <row r="1019" spans="1:20" x14ac:dyDescent="0.25">
      <c r="A1019">
        <v>27</v>
      </c>
      <c r="B1019" t="str">
        <f t="shared" si="15"/>
        <v>25-34</v>
      </c>
      <c r="C1019" t="s">
        <v>21</v>
      </c>
      <c r="F1019" t="s">
        <v>17</v>
      </c>
      <c r="G1019">
        <v>1377</v>
      </c>
      <c r="H1019" t="s">
        <v>23</v>
      </c>
      <c r="I1019">
        <v>11</v>
      </c>
      <c r="J1019">
        <v>1</v>
      </c>
      <c r="K1019" t="s">
        <v>19</v>
      </c>
      <c r="L1019">
        <v>1</v>
      </c>
      <c r="M1019">
        <v>1434</v>
      </c>
      <c r="O1019">
        <v>2</v>
      </c>
      <c r="P1019">
        <v>1</v>
      </c>
      <c r="Q1019" t="s">
        <v>26</v>
      </c>
      <c r="R1019">
        <v>1</v>
      </c>
      <c r="S1019">
        <v>2099</v>
      </c>
      <c r="T1019" t="s">
        <v>21</v>
      </c>
    </row>
    <row r="1020" spans="1:20" x14ac:dyDescent="0.25">
      <c r="A1020">
        <v>36</v>
      </c>
      <c r="B1020" t="str">
        <f t="shared" si="15"/>
        <v>35-44</v>
      </c>
      <c r="C1020" t="s">
        <v>21</v>
      </c>
      <c r="F1020" t="s">
        <v>17</v>
      </c>
      <c r="G1020">
        <v>172</v>
      </c>
      <c r="H1020" t="s">
        <v>23</v>
      </c>
      <c r="I1020">
        <v>4</v>
      </c>
      <c r="J1020">
        <v>4</v>
      </c>
      <c r="K1020" t="s">
        <v>19</v>
      </c>
      <c r="L1020">
        <v>1</v>
      </c>
      <c r="M1020">
        <v>1435</v>
      </c>
      <c r="O1020">
        <v>1</v>
      </c>
      <c r="P1020">
        <v>2</v>
      </c>
      <c r="Q1020" t="s">
        <v>26</v>
      </c>
      <c r="R1020">
        <v>4</v>
      </c>
      <c r="S1020">
        <v>5810</v>
      </c>
      <c r="T1020" t="s">
        <v>21</v>
      </c>
    </row>
    <row r="1021" spans="1:20" x14ac:dyDescent="0.25">
      <c r="A1021">
        <v>36</v>
      </c>
      <c r="B1021" t="str">
        <f t="shared" si="15"/>
        <v>35-44</v>
      </c>
      <c r="C1021" t="s">
        <v>21</v>
      </c>
      <c r="F1021" t="s">
        <v>17</v>
      </c>
      <c r="G1021">
        <v>329</v>
      </c>
      <c r="H1021" t="s">
        <v>18</v>
      </c>
      <c r="I1021">
        <v>16</v>
      </c>
      <c r="J1021">
        <v>4</v>
      </c>
      <c r="K1021" t="s">
        <v>34</v>
      </c>
      <c r="L1021">
        <v>1</v>
      </c>
      <c r="M1021">
        <v>1436</v>
      </c>
      <c r="O1021">
        <v>3</v>
      </c>
      <c r="P1021">
        <v>2</v>
      </c>
      <c r="Q1021" t="s">
        <v>20</v>
      </c>
      <c r="R1021">
        <v>1</v>
      </c>
      <c r="S1021">
        <v>5647</v>
      </c>
      <c r="T1021" t="s">
        <v>21</v>
      </c>
    </row>
    <row r="1022" spans="1:20" x14ac:dyDescent="0.25">
      <c r="A1022">
        <v>47</v>
      </c>
      <c r="B1022" t="str">
        <f t="shared" si="15"/>
        <v>45-54</v>
      </c>
      <c r="C1022" t="s">
        <v>21</v>
      </c>
      <c r="F1022" t="s">
        <v>17</v>
      </c>
      <c r="G1022">
        <v>465</v>
      </c>
      <c r="H1022" t="s">
        <v>23</v>
      </c>
      <c r="I1022">
        <v>1</v>
      </c>
      <c r="J1022">
        <v>3</v>
      </c>
      <c r="K1022" t="s">
        <v>35</v>
      </c>
      <c r="L1022">
        <v>1</v>
      </c>
      <c r="M1022">
        <v>1438</v>
      </c>
      <c r="O1022">
        <v>1</v>
      </c>
      <c r="P1022">
        <v>1</v>
      </c>
      <c r="Q1022" t="s">
        <v>24</v>
      </c>
      <c r="R1022">
        <v>4</v>
      </c>
      <c r="S1022">
        <v>3420</v>
      </c>
      <c r="T1022" t="s">
        <v>21</v>
      </c>
    </row>
    <row r="1023" spans="1:20" x14ac:dyDescent="0.25">
      <c r="A1023">
        <v>25</v>
      </c>
      <c r="B1023" t="str">
        <f t="shared" si="15"/>
        <v>25-34</v>
      </c>
      <c r="C1023" t="s">
        <v>16</v>
      </c>
      <c r="F1023" t="s">
        <v>17</v>
      </c>
      <c r="G1023">
        <v>383</v>
      </c>
      <c r="H1023" t="s">
        <v>18</v>
      </c>
      <c r="I1023">
        <v>9</v>
      </c>
      <c r="J1023">
        <v>2</v>
      </c>
      <c r="K1023" t="s">
        <v>19</v>
      </c>
      <c r="L1023">
        <v>1</v>
      </c>
      <c r="M1023">
        <v>1439</v>
      </c>
      <c r="O1023">
        <v>1</v>
      </c>
      <c r="P1023">
        <v>1</v>
      </c>
      <c r="Q1023" t="s">
        <v>32</v>
      </c>
      <c r="R1023">
        <v>1</v>
      </c>
      <c r="S1023">
        <v>4400</v>
      </c>
      <c r="T1023" t="s">
        <v>21</v>
      </c>
    </row>
    <row r="1024" spans="1:20" x14ac:dyDescent="0.25">
      <c r="A1024">
        <v>37</v>
      </c>
      <c r="B1024" t="str">
        <f t="shared" si="15"/>
        <v>35-44</v>
      </c>
      <c r="C1024" t="s">
        <v>21</v>
      </c>
      <c r="F1024" t="s">
        <v>30</v>
      </c>
      <c r="G1024">
        <v>1413</v>
      </c>
      <c r="H1024" t="s">
        <v>23</v>
      </c>
      <c r="I1024">
        <v>5</v>
      </c>
      <c r="J1024">
        <v>2</v>
      </c>
      <c r="K1024" t="s">
        <v>35</v>
      </c>
      <c r="L1024">
        <v>1</v>
      </c>
      <c r="M1024">
        <v>1440</v>
      </c>
      <c r="O1024">
        <v>3</v>
      </c>
      <c r="P1024">
        <v>1</v>
      </c>
      <c r="Q1024" t="s">
        <v>26</v>
      </c>
      <c r="R1024">
        <v>3</v>
      </c>
      <c r="S1024">
        <v>3500</v>
      </c>
      <c r="T1024" t="s">
        <v>21</v>
      </c>
    </row>
    <row r="1025" spans="1:20" x14ac:dyDescent="0.25">
      <c r="A1025">
        <v>56</v>
      </c>
      <c r="B1025" t="str">
        <f t="shared" si="15"/>
        <v>55+</v>
      </c>
      <c r="C1025" t="s">
        <v>21</v>
      </c>
      <c r="F1025" t="s">
        <v>17</v>
      </c>
      <c r="G1025">
        <v>1255</v>
      </c>
      <c r="H1025" t="s">
        <v>23</v>
      </c>
      <c r="I1025">
        <v>1</v>
      </c>
      <c r="J1025">
        <v>2</v>
      </c>
      <c r="K1025" t="s">
        <v>19</v>
      </c>
      <c r="L1025">
        <v>1</v>
      </c>
      <c r="M1025">
        <v>1441</v>
      </c>
      <c r="O1025">
        <v>1</v>
      </c>
      <c r="P1025">
        <v>1</v>
      </c>
      <c r="Q1025" t="s">
        <v>24</v>
      </c>
      <c r="R1025">
        <v>1</v>
      </c>
      <c r="S1025">
        <v>2066</v>
      </c>
      <c r="T1025" t="s">
        <v>21</v>
      </c>
    </row>
    <row r="1026" spans="1:20" x14ac:dyDescent="0.25">
      <c r="A1026">
        <v>47</v>
      </c>
      <c r="B1026" t="str">
        <f t="shared" si="15"/>
        <v>45-54</v>
      </c>
      <c r="C1026" t="s">
        <v>21</v>
      </c>
      <c r="F1026" t="s">
        <v>17</v>
      </c>
      <c r="G1026">
        <v>359</v>
      </c>
      <c r="H1026" t="s">
        <v>23</v>
      </c>
      <c r="I1026">
        <v>2</v>
      </c>
      <c r="J1026">
        <v>4</v>
      </c>
      <c r="K1026" t="s">
        <v>27</v>
      </c>
      <c r="L1026">
        <v>1</v>
      </c>
      <c r="M1026">
        <v>1443</v>
      </c>
      <c r="O1026">
        <v>1</v>
      </c>
      <c r="P1026">
        <v>4</v>
      </c>
      <c r="Q1026" t="s">
        <v>33</v>
      </c>
      <c r="R1026">
        <v>3</v>
      </c>
      <c r="S1026">
        <v>17169</v>
      </c>
      <c r="T1026" t="s">
        <v>21</v>
      </c>
    </row>
    <row r="1027" spans="1:20" x14ac:dyDescent="0.25">
      <c r="A1027">
        <v>24</v>
      </c>
      <c r="B1027" t="str">
        <f t="shared" ref="B1027:B1090" si="16">IF(A1027&lt;=24,"18-24",IF(A1027&lt;=34,"25-34",IF(A1027&lt;=44,"35-44",IF(A1027&lt;=54,"45-54","55+"))))</f>
        <v>18-24</v>
      </c>
      <c r="C1027" t="s">
        <v>21</v>
      </c>
      <c r="F1027" t="s">
        <v>17</v>
      </c>
      <c r="G1027">
        <v>1476</v>
      </c>
      <c r="H1027" t="s">
        <v>18</v>
      </c>
      <c r="I1027">
        <v>4</v>
      </c>
      <c r="J1027">
        <v>1</v>
      </c>
      <c r="K1027" t="s">
        <v>27</v>
      </c>
      <c r="L1027">
        <v>1</v>
      </c>
      <c r="M1027">
        <v>1445</v>
      </c>
      <c r="O1027">
        <v>4</v>
      </c>
      <c r="P1027">
        <v>2</v>
      </c>
      <c r="Q1027" t="s">
        <v>20</v>
      </c>
      <c r="R1027">
        <v>3</v>
      </c>
      <c r="S1027">
        <v>4162</v>
      </c>
      <c r="T1027" t="s">
        <v>16</v>
      </c>
    </row>
    <row r="1028" spans="1:20" x14ac:dyDescent="0.25">
      <c r="A1028">
        <v>32</v>
      </c>
      <c r="B1028" t="str">
        <f t="shared" si="16"/>
        <v>25-34</v>
      </c>
      <c r="C1028" t="s">
        <v>21</v>
      </c>
      <c r="F1028" t="s">
        <v>17</v>
      </c>
      <c r="G1028">
        <v>601</v>
      </c>
      <c r="H1028" t="s">
        <v>18</v>
      </c>
      <c r="I1028">
        <v>7</v>
      </c>
      <c r="J1028">
        <v>5</v>
      </c>
      <c r="K1028" t="s">
        <v>34</v>
      </c>
      <c r="L1028">
        <v>1</v>
      </c>
      <c r="M1028">
        <v>1446</v>
      </c>
      <c r="O1028">
        <v>4</v>
      </c>
      <c r="P1028">
        <v>2</v>
      </c>
      <c r="Q1028" t="s">
        <v>20</v>
      </c>
      <c r="R1028">
        <v>4</v>
      </c>
      <c r="S1028">
        <v>9204</v>
      </c>
      <c r="T1028" t="s">
        <v>21</v>
      </c>
    </row>
    <row r="1029" spans="1:20" x14ac:dyDescent="0.25">
      <c r="A1029">
        <v>34</v>
      </c>
      <c r="B1029" t="str">
        <f t="shared" si="16"/>
        <v>25-34</v>
      </c>
      <c r="C1029" t="s">
        <v>21</v>
      </c>
      <c r="F1029" t="s">
        <v>17</v>
      </c>
      <c r="G1029">
        <v>401</v>
      </c>
      <c r="H1029" t="s">
        <v>23</v>
      </c>
      <c r="I1029">
        <v>1</v>
      </c>
      <c r="J1029">
        <v>3</v>
      </c>
      <c r="K1029" t="s">
        <v>19</v>
      </c>
      <c r="L1029">
        <v>1</v>
      </c>
      <c r="M1029">
        <v>1447</v>
      </c>
      <c r="O1029">
        <v>4</v>
      </c>
      <c r="P1029">
        <v>1</v>
      </c>
      <c r="Q1029" t="s">
        <v>26</v>
      </c>
      <c r="R1029">
        <v>2</v>
      </c>
      <c r="S1029">
        <v>3294</v>
      </c>
      <c r="T1029" t="s">
        <v>21</v>
      </c>
    </row>
    <row r="1030" spans="1:20" x14ac:dyDescent="0.25">
      <c r="A1030">
        <v>41</v>
      </c>
      <c r="B1030" t="str">
        <f t="shared" si="16"/>
        <v>35-44</v>
      </c>
      <c r="C1030" t="s">
        <v>21</v>
      </c>
      <c r="F1030" t="s">
        <v>17</v>
      </c>
      <c r="G1030">
        <v>1283</v>
      </c>
      <c r="H1030" t="s">
        <v>23</v>
      </c>
      <c r="I1030">
        <v>5</v>
      </c>
      <c r="J1030">
        <v>5</v>
      </c>
      <c r="K1030" t="s">
        <v>27</v>
      </c>
      <c r="L1030">
        <v>1</v>
      </c>
      <c r="M1030">
        <v>1448</v>
      </c>
      <c r="O1030">
        <v>2</v>
      </c>
      <c r="P1030">
        <v>1</v>
      </c>
      <c r="Q1030" t="s">
        <v>24</v>
      </c>
      <c r="R1030">
        <v>3</v>
      </c>
      <c r="S1030">
        <v>2127</v>
      </c>
      <c r="T1030" t="s">
        <v>16</v>
      </c>
    </row>
    <row r="1031" spans="1:20" x14ac:dyDescent="0.25">
      <c r="A1031">
        <v>40</v>
      </c>
      <c r="B1031" t="str">
        <f t="shared" si="16"/>
        <v>35-44</v>
      </c>
      <c r="C1031" t="s">
        <v>21</v>
      </c>
      <c r="F1031" t="s">
        <v>30</v>
      </c>
      <c r="G1031">
        <v>663</v>
      </c>
      <c r="H1031" t="s">
        <v>23</v>
      </c>
      <c r="I1031">
        <v>9</v>
      </c>
      <c r="J1031">
        <v>4</v>
      </c>
      <c r="K1031" t="s">
        <v>25</v>
      </c>
      <c r="L1031">
        <v>1</v>
      </c>
      <c r="M1031">
        <v>1449</v>
      </c>
      <c r="O1031">
        <v>3</v>
      </c>
      <c r="P1031">
        <v>2</v>
      </c>
      <c r="Q1031" t="s">
        <v>26</v>
      </c>
      <c r="R1031">
        <v>3</v>
      </c>
      <c r="S1031">
        <v>3975</v>
      </c>
      <c r="T1031" t="s">
        <v>21</v>
      </c>
    </row>
    <row r="1032" spans="1:20" x14ac:dyDescent="0.25">
      <c r="A1032">
        <v>31</v>
      </c>
      <c r="B1032" t="str">
        <f t="shared" si="16"/>
        <v>25-34</v>
      </c>
      <c r="C1032" t="s">
        <v>21</v>
      </c>
      <c r="F1032" t="s">
        <v>17</v>
      </c>
      <c r="G1032">
        <v>326</v>
      </c>
      <c r="H1032" t="s">
        <v>18</v>
      </c>
      <c r="I1032">
        <v>8</v>
      </c>
      <c r="J1032">
        <v>2</v>
      </c>
      <c r="K1032" t="s">
        <v>19</v>
      </c>
      <c r="L1032">
        <v>1</v>
      </c>
      <c r="M1032">
        <v>1453</v>
      </c>
      <c r="O1032">
        <v>1</v>
      </c>
      <c r="P1032">
        <v>3</v>
      </c>
      <c r="Q1032" t="s">
        <v>20</v>
      </c>
      <c r="R1032">
        <v>4</v>
      </c>
      <c r="S1032">
        <v>10793</v>
      </c>
      <c r="T1032" t="s">
        <v>21</v>
      </c>
    </row>
    <row r="1033" spans="1:20" x14ac:dyDescent="0.25">
      <c r="A1033">
        <v>46</v>
      </c>
      <c r="B1033" t="str">
        <f t="shared" si="16"/>
        <v>45-54</v>
      </c>
      <c r="C1033" t="s">
        <v>16</v>
      </c>
      <c r="F1033" t="s">
        <v>17</v>
      </c>
      <c r="G1033">
        <v>377</v>
      </c>
      <c r="H1033" t="s">
        <v>18</v>
      </c>
      <c r="I1033">
        <v>9</v>
      </c>
      <c r="J1033">
        <v>3</v>
      </c>
      <c r="K1033" t="s">
        <v>34</v>
      </c>
      <c r="L1033">
        <v>1</v>
      </c>
      <c r="M1033">
        <v>1457</v>
      </c>
      <c r="O1033">
        <v>1</v>
      </c>
      <c r="P1033">
        <v>3</v>
      </c>
      <c r="Q1033" t="s">
        <v>20</v>
      </c>
      <c r="R1033">
        <v>4</v>
      </c>
      <c r="S1033">
        <v>10096</v>
      </c>
      <c r="T1033" t="s">
        <v>21</v>
      </c>
    </row>
    <row r="1034" spans="1:20" x14ac:dyDescent="0.25">
      <c r="A1034">
        <v>39</v>
      </c>
      <c r="B1034" t="str">
        <f t="shared" si="16"/>
        <v>35-44</v>
      </c>
      <c r="C1034" t="s">
        <v>16</v>
      </c>
      <c r="F1034" t="s">
        <v>30</v>
      </c>
      <c r="G1034">
        <v>592</v>
      </c>
      <c r="H1034" t="s">
        <v>23</v>
      </c>
      <c r="I1034">
        <v>2</v>
      </c>
      <c r="J1034">
        <v>3</v>
      </c>
      <c r="K1034" t="s">
        <v>19</v>
      </c>
      <c r="L1034">
        <v>1</v>
      </c>
      <c r="M1034">
        <v>1458</v>
      </c>
      <c r="O1034">
        <v>1</v>
      </c>
      <c r="P1034">
        <v>1</v>
      </c>
      <c r="Q1034" t="s">
        <v>26</v>
      </c>
      <c r="R1034">
        <v>1</v>
      </c>
      <c r="S1034">
        <v>3646</v>
      </c>
      <c r="T1034" t="s">
        <v>16</v>
      </c>
    </row>
    <row r="1035" spans="1:20" x14ac:dyDescent="0.25">
      <c r="A1035">
        <v>31</v>
      </c>
      <c r="B1035" t="str">
        <f t="shared" si="16"/>
        <v>25-34</v>
      </c>
      <c r="C1035" t="s">
        <v>16</v>
      </c>
      <c r="F1035" t="s">
        <v>22</v>
      </c>
      <c r="G1035">
        <v>1445</v>
      </c>
      <c r="H1035" t="s">
        <v>23</v>
      </c>
      <c r="I1035">
        <v>1</v>
      </c>
      <c r="J1035">
        <v>5</v>
      </c>
      <c r="K1035" t="s">
        <v>19</v>
      </c>
      <c r="L1035">
        <v>1</v>
      </c>
      <c r="M1035">
        <v>1459</v>
      </c>
      <c r="O1035">
        <v>3</v>
      </c>
      <c r="P1035">
        <v>3</v>
      </c>
      <c r="Q1035" t="s">
        <v>28</v>
      </c>
      <c r="R1035">
        <v>2</v>
      </c>
      <c r="S1035">
        <v>7446</v>
      </c>
      <c r="T1035" t="s">
        <v>21</v>
      </c>
    </row>
    <row r="1036" spans="1:20" x14ac:dyDescent="0.25">
      <c r="A1036">
        <v>45</v>
      </c>
      <c r="B1036" t="str">
        <f t="shared" si="16"/>
        <v>45-54</v>
      </c>
      <c r="C1036" t="s">
        <v>21</v>
      </c>
      <c r="F1036" t="s">
        <v>17</v>
      </c>
      <c r="G1036">
        <v>1038</v>
      </c>
      <c r="H1036" t="s">
        <v>23</v>
      </c>
      <c r="I1036">
        <v>20</v>
      </c>
      <c r="J1036">
        <v>3</v>
      </c>
      <c r="K1036" t="s">
        <v>27</v>
      </c>
      <c r="L1036">
        <v>1</v>
      </c>
      <c r="M1036">
        <v>1460</v>
      </c>
      <c r="O1036">
        <v>2</v>
      </c>
      <c r="P1036">
        <v>3</v>
      </c>
      <c r="Q1036" t="s">
        <v>29</v>
      </c>
      <c r="R1036">
        <v>1</v>
      </c>
      <c r="S1036">
        <v>10851</v>
      </c>
      <c r="T1036" t="s">
        <v>16</v>
      </c>
    </row>
    <row r="1037" spans="1:20" x14ac:dyDescent="0.25">
      <c r="A1037">
        <v>31</v>
      </c>
      <c r="B1037" t="str">
        <f t="shared" si="16"/>
        <v>25-34</v>
      </c>
      <c r="C1037" t="s">
        <v>21</v>
      </c>
      <c r="F1037" t="s">
        <v>17</v>
      </c>
      <c r="G1037">
        <v>1398</v>
      </c>
      <c r="H1037" t="s">
        <v>36</v>
      </c>
      <c r="I1037">
        <v>8</v>
      </c>
      <c r="J1037">
        <v>2</v>
      </c>
      <c r="K1037" t="s">
        <v>27</v>
      </c>
      <c r="L1037">
        <v>1</v>
      </c>
      <c r="M1037">
        <v>1461</v>
      </c>
      <c r="O1037">
        <v>4</v>
      </c>
      <c r="P1037">
        <v>1</v>
      </c>
      <c r="Q1037" t="s">
        <v>36</v>
      </c>
      <c r="R1037">
        <v>2</v>
      </c>
      <c r="S1037">
        <v>2109</v>
      </c>
      <c r="T1037" t="s">
        <v>21</v>
      </c>
    </row>
    <row r="1038" spans="1:20" x14ac:dyDescent="0.25">
      <c r="A1038">
        <v>31</v>
      </c>
      <c r="B1038" t="str">
        <f t="shared" si="16"/>
        <v>25-34</v>
      </c>
      <c r="C1038" t="s">
        <v>16</v>
      </c>
      <c r="F1038" t="s">
        <v>22</v>
      </c>
      <c r="G1038">
        <v>523</v>
      </c>
      <c r="H1038" t="s">
        <v>23</v>
      </c>
      <c r="I1038">
        <v>2</v>
      </c>
      <c r="J1038">
        <v>3</v>
      </c>
      <c r="K1038" t="s">
        <v>19</v>
      </c>
      <c r="L1038">
        <v>1</v>
      </c>
      <c r="M1038">
        <v>1464</v>
      </c>
      <c r="O1038">
        <v>2</v>
      </c>
      <c r="P1038">
        <v>1</v>
      </c>
      <c r="Q1038" t="s">
        <v>26</v>
      </c>
      <c r="R1038">
        <v>4</v>
      </c>
      <c r="S1038">
        <v>3722</v>
      </c>
      <c r="T1038" t="s">
        <v>16</v>
      </c>
    </row>
    <row r="1039" spans="1:20" x14ac:dyDescent="0.25">
      <c r="A1039">
        <v>45</v>
      </c>
      <c r="B1039" t="str">
        <f t="shared" si="16"/>
        <v>45-54</v>
      </c>
      <c r="C1039" t="s">
        <v>21</v>
      </c>
      <c r="F1039" t="s">
        <v>17</v>
      </c>
      <c r="G1039">
        <v>1448</v>
      </c>
      <c r="H1039" t="s">
        <v>23</v>
      </c>
      <c r="I1039">
        <v>29</v>
      </c>
      <c r="J1039">
        <v>3</v>
      </c>
      <c r="K1039" t="s">
        <v>35</v>
      </c>
      <c r="L1039">
        <v>1</v>
      </c>
      <c r="M1039">
        <v>1465</v>
      </c>
      <c r="O1039">
        <v>2</v>
      </c>
      <c r="P1039">
        <v>3</v>
      </c>
      <c r="Q1039" t="s">
        <v>28</v>
      </c>
      <c r="R1039">
        <v>4</v>
      </c>
      <c r="S1039">
        <v>9380</v>
      </c>
      <c r="T1039" t="s">
        <v>16</v>
      </c>
    </row>
    <row r="1040" spans="1:20" x14ac:dyDescent="0.25">
      <c r="A1040">
        <v>48</v>
      </c>
      <c r="B1040" t="str">
        <f t="shared" si="16"/>
        <v>45-54</v>
      </c>
      <c r="C1040" t="s">
        <v>21</v>
      </c>
      <c r="F1040" t="s">
        <v>17</v>
      </c>
      <c r="G1040">
        <v>1221</v>
      </c>
      <c r="H1040" t="s">
        <v>18</v>
      </c>
      <c r="I1040">
        <v>7</v>
      </c>
      <c r="J1040">
        <v>3</v>
      </c>
      <c r="K1040" t="s">
        <v>34</v>
      </c>
      <c r="L1040">
        <v>1</v>
      </c>
      <c r="M1040">
        <v>1466</v>
      </c>
      <c r="O1040">
        <v>3</v>
      </c>
      <c r="P1040">
        <v>2</v>
      </c>
      <c r="Q1040" t="s">
        <v>20</v>
      </c>
      <c r="R1040">
        <v>1</v>
      </c>
      <c r="S1040">
        <v>5486</v>
      </c>
      <c r="T1040" t="s">
        <v>21</v>
      </c>
    </row>
    <row r="1041" spans="1:20" x14ac:dyDescent="0.25">
      <c r="A1041">
        <v>34</v>
      </c>
      <c r="B1041" t="str">
        <f t="shared" si="16"/>
        <v>25-34</v>
      </c>
      <c r="C1041" t="s">
        <v>16</v>
      </c>
      <c r="F1041" t="s">
        <v>17</v>
      </c>
      <c r="G1041">
        <v>1107</v>
      </c>
      <c r="H1041" t="s">
        <v>36</v>
      </c>
      <c r="I1041">
        <v>9</v>
      </c>
      <c r="J1041">
        <v>4</v>
      </c>
      <c r="K1041" t="s">
        <v>35</v>
      </c>
      <c r="L1041">
        <v>1</v>
      </c>
      <c r="M1041">
        <v>1467</v>
      </c>
      <c r="O1041">
        <v>1</v>
      </c>
      <c r="P1041">
        <v>1</v>
      </c>
      <c r="Q1041" t="s">
        <v>36</v>
      </c>
      <c r="R1041">
        <v>3</v>
      </c>
      <c r="S1041">
        <v>2742</v>
      </c>
      <c r="T1041" t="s">
        <v>21</v>
      </c>
    </row>
    <row r="1042" spans="1:20" x14ac:dyDescent="0.25">
      <c r="A1042">
        <v>40</v>
      </c>
      <c r="B1042" t="str">
        <f t="shared" si="16"/>
        <v>35-44</v>
      </c>
      <c r="C1042" t="s">
        <v>21</v>
      </c>
      <c r="F1042" t="s">
        <v>30</v>
      </c>
      <c r="G1042">
        <v>218</v>
      </c>
      <c r="H1042" t="s">
        <v>23</v>
      </c>
      <c r="I1042">
        <v>8</v>
      </c>
      <c r="J1042">
        <v>1</v>
      </c>
      <c r="K1042" t="s">
        <v>27</v>
      </c>
      <c r="L1042">
        <v>1</v>
      </c>
      <c r="M1042">
        <v>1468</v>
      </c>
      <c r="O1042">
        <v>4</v>
      </c>
      <c r="P1042">
        <v>3</v>
      </c>
      <c r="Q1042" t="s">
        <v>33</v>
      </c>
      <c r="R1042">
        <v>2</v>
      </c>
      <c r="S1042">
        <v>13757</v>
      </c>
      <c r="T1042" t="s">
        <v>21</v>
      </c>
    </row>
    <row r="1043" spans="1:20" x14ac:dyDescent="0.25">
      <c r="A1043">
        <v>28</v>
      </c>
      <c r="B1043" t="str">
        <f t="shared" si="16"/>
        <v>25-34</v>
      </c>
      <c r="C1043" t="s">
        <v>21</v>
      </c>
      <c r="F1043" t="s">
        <v>17</v>
      </c>
      <c r="G1043">
        <v>866</v>
      </c>
      <c r="H1043" t="s">
        <v>18</v>
      </c>
      <c r="I1043">
        <v>5</v>
      </c>
      <c r="J1043">
        <v>3</v>
      </c>
      <c r="K1043" t="s">
        <v>27</v>
      </c>
      <c r="L1043">
        <v>1</v>
      </c>
      <c r="M1043">
        <v>1469</v>
      </c>
      <c r="O1043">
        <v>4</v>
      </c>
      <c r="P1043">
        <v>2</v>
      </c>
      <c r="Q1043" t="s">
        <v>20</v>
      </c>
      <c r="R1043">
        <v>1</v>
      </c>
      <c r="S1043">
        <v>8463</v>
      </c>
      <c r="T1043" t="s">
        <v>21</v>
      </c>
    </row>
    <row r="1044" spans="1:20" x14ac:dyDescent="0.25">
      <c r="A1044">
        <v>44</v>
      </c>
      <c r="B1044" t="str">
        <f t="shared" si="16"/>
        <v>35-44</v>
      </c>
      <c r="C1044" t="s">
        <v>21</v>
      </c>
      <c r="F1044" t="s">
        <v>30</v>
      </c>
      <c r="G1044">
        <v>981</v>
      </c>
      <c r="H1044" t="s">
        <v>23</v>
      </c>
      <c r="I1044">
        <v>5</v>
      </c>
      <c r="J1044">
        <v>3</v>
      </c>
      <c r="K1044" t="s">
        <v>19</v>
      </c>
      <c r="L1044">
        <v>1</v>
      </c>
      <c r="M1044">
        <v>1471</v>
      </c>
      <c r="O1044">
        <v>3</v>
      </c>
      <c r="P1044">
        <v>1</v>
      </c>
      <c r="Q1044" t="s">
        <v>26</v>
      </c>
      <c r="R1044">
        <v>3</v>
      </c>
      <c r="S1044">
        <v>3162</v>
      </c>
      <c r="T1044" t="s">
        <v>21</v>
      </c>
    </row>
    <row r="1045" spans="1:20" x14ac:dyDescent="0.25">
      <c r="A1045">
        <v>53</v>
      </c>
      <c r="B1045" t="str">
        <f t="shared" si="16"/>
        <v>45-54</v>
      </c>
      <c r="C1045" t="s">
        <v>21</v>
      </c>
      <c r="F1045" t="s">
        <v>17</v>
      </c>
      <c r="G1045">
        <v>447</v>
      </c>
      <c r="H1045" t="s">
        <v>23</v>
      </c>
      <c r="I1045">
        <v>2</v>
      </c>
      <c r="J1045">
        <v>3</v>
      </c>
      <c r="K1045" t="s">
        <v>27</v>
      </c>
      <c r="L1045">
        <v>1</v>
      </c>
      <c r="M1045">
        <v>1472</v>
      </c>
      <c r="O1045">
        <v>4</v>
      </c>
      <c r="P1045">
        <v>4</v>
      </c>
      <c r="Q1045" t="s">
        <v>33</v>
      </c>
      <c r="R1045">
        <v>2</v>
      </c>
      <c r="S1045">
        <v>16598</v>
      </c>
      <c r="T1045" t="s">
        <v>21</v>
      </c>
    </row>
    <row r="1046" spans="1:20" x14ac:dyDescent="0.25">
      <c r="A1046">
        <v>49</v>
      </c>
      <c r="B1046" t="str">
        <f t="shared" si="16"/>
        <v>45-54</v>
      </c>
      <c r="C1046" t="s">
        <v>21</v>
      </c>
      <c r="F1046" t="s">
        <v>17</v>
      </c>
      <c r="G1046">
        <v>1495</v>
      </c>
      <c r="H1046" t="s">
        <v>23</v>
      </c>
      <c r="I1046">
        <v>5</v>
      </c>
      <c r="J1046">
        <v>4</v>
      </c>
      <c r="K1046" t="s">
        <v>35</v>
      </c>
      <c r="L1046">
        <v>1</v>
      </c>
      <c r="M1046">
        <v>1473</v>
      </c>
      <c r="O1046">
        <v>1</v>
      </c>
      <c r="P1046">
        <v>2</v>
      </c>
      <c r="Q1046" t="s">
        <v>29</v>
      </c>
      <c r="R1046">
        <v>3</v>
      </c>
      <c r="S1046">
        <v>6651</v>
      </c>
      <c r="T1046" t="s">
        <v>21</v>
      </c>
    </row>
    <row r="1047" spans="1:20" x14ac:dyDescent="0.25">
      <c r="A1047">
        <v>40</v>
      </c>
      <c r="B1047" t="str">
        <f t="shared" si="16"/>
        <v>35-44</v>
      </c>
      <c r="C1047" t="s">
        <v>21</v>
      </c>
      <c r="F1047" t="s">
        <v>17</v>
      </c>
      <c r="G1047">
        <v>896</v>
      </c>
      <c r="H1047" t="s">
        <v>23</v>
      </c>
      <c r="I1047">
        <v>2</v>
      </c>
      <c r="J1047">
        <v>3</v>
      </c>
      <c r="K1047" t="s">
        <v>27</v>
      </c>
      <c r="L1047">
        <v>1</v>
      </c>
      <c r="M1047">
        <v>1474</v>
      </c>
      <c r="O1047">
        <v>3</v>
      </c>
      <c r="P1047">
        <v>1</v>
      </c>
      <c r="Q1047" t="s">
        <v>24</v>
      </c>
      <c r="R1047">
        <v>3</v>
      </c>
      <c r="S1047">
        <v>2345</v>
      </c>
      <c r="T1047" t="s">
        <v>21</v>
      </c>
    </row>
    <row r="1048" spans="1:20" x14ac:dyDescent="0.25">
      <c r="A1048">
        <v>44</v>
      </c>
      <c r="B1048" t="str">
        <f t="shared" si="16"/>
        <v>35-44</v>
      </c>
      <c r="C1048" t="s">
        <v>21</v>
      </c>
      <c r="F1048" t="s">
        <v>17</v>
      </c>
      <c r="G1048">
        <v>1467</v>
      </c>
      <c r="H1048" t="s">
        <v>23</v>
      </c>
      <c r="I1048">
        <v>20</v>
      </c>
      <c r="J1048">
        <v>3</v>
      </c>
      <c r="K1048" t="s">
        <v>19</v>
      </c>
      <c r="L1048">
        <v>1</v>
      </c>
      <c r="M1048">
        <v>1475</v>
      </c>
      <c r="O1048">
        <v>4</v>
      </c>
      <c r="P1048">
        <v>1</v>
      </c>
      <c r="Q1048" t="s">
        <v>24</v>
      </c>
      <c r="R1048">
        <v>2</v>
      </c>
      <c r="S1048">
        <v>3420</v>
      </c>
      <c r="T1048" t="s">
        <v>21</v>
      </c>
    </row>
    <row r="1049" spans="1:20" x14ac:dyDescent="0.25">
      <c r="A1049">
        <v>33</v>
      </c>
      <c r="B1049" t="str">
        <f t="shared" si="16"/>
        <v>25-34</v>
      </c>
      <c r="C1049" t="s">
        <v>21</v>
      </c>
      <c r="F1049" t="s">
        <v>22</v>
      </c>
      <c r="G1049">
        <v>430</v>
      </c>
      <c r="H1049" t="s">
        <v>18</v>
      </c>
      <c r="I1049">
        <v>7</v>
      </c>
      <c r="J1049">
        <v>3</v>
      </c>
      <c r="K1049" t="s">
        <v>27</v>
      </c>
      <c r="L1049">
        <v>1</v>
      </c>
      <c r="M1049">
        <v>1477</v>
      </c>
      <c r="O1049">
        <v>4</v>
      </c>
      <c r="P1049">
        <v>2</v>
      </c>
      <c r="Q1049" t="s">
        <v>20</v>
      </c>
      <c r="R1049">
        <v>1</v>
      </c>
      <c r="S1049">
        <v>4373</v>
      </c>
      <c r="T1049" t="s">
        <v>21</v>
      </c>
    </row>
    <row r="1050" spans="1:20" x14ac:dyDescent="0.25">
      <c r="A1050">
        <v>34</v>
      </c>
      <c r="B1050" t="str">
        <f t="shared" si="16"/>
        <v>25-34</v>
      </c>
      <c r="C1050" t="s">
        <v>21</v>
      </c>
      <c r="F1050" t="s">
        <v>17</v>
      </c>
      <c r="G1050">
        <v>1326</v>
      </c>
      <c r="H1050" t="s">
        <v>18</v>
      </c>
      <c r="I1050">
        <v>3</v>
      </c>
      <c r="J1050">
        <v>3</v>
      </c>
      <c r="K1050" t="s">
        <v>25</v>
      </c>
      <c r="L1050">
        <v>1</v>
      </c>
      <c r="M1050">
        <v>1478</v>
      </c>
      <c r="O1050">
        <v>4</v>
      </c>
      <c r="P1050">
        <v>2</v>
      </c>
      <c r="Q1050" t="s">
        <v>20</v>
      </c>
      <c r="R1050">
        <v>1</v>
      </c>
      <c r="S1050">
        <v>4759</v>
      </c>
      <c r="T1050" t="s">
        <v>21</v>
      </c>
    </row>
    <row r="1051" spans="1:20" x14ac:dyDescent="0.25">
      <c r="A1051">
        <v>30</v>
      </c>
      <c r="B1051" t="str">
        <f t="shared" si="16"/>
        <v>25-34</v>
      </c>
      <c r="C1051" t="s">
        <v>21</v>
      </c>
      <c r="F1051" t="s">
        <v>17</v>
      </c>
      <c r="G1051">
        <v>1358</v>
      </c>
      <c r="H1051" t="s">
        <v>18</v>
      </c>
      <c r="I1051">
        <v>16</v>
      </c>
      <c r="J1051">
        <v>1</v>
      </c>
      <c r="K1051" t="s">
        <v>19</v>
      </c>
      <c r="L1051">
        <v>1</v>
      </c>
      <c r="M1051">
        <v>1479</v>
      </c>
      <c r="O1051">
        <v>4</v>
      </c>
      <c r="P1051">
        <v>2</v>
      </c>
      <c r="Q1051" t="s">
        <v>20</v>
      </c>
      <c r="R1051">
        <v>3</v>
      </c>
      <c r="S1051">
        <v>5301</v>
      </c>
      <c r="T1051" t="s">
        <v>21</v>
      </c>
    </row>
    <row r="1052" spans="1:20" x14ac:dyDescent="0.25">
      <c r="A1052">
        <v>42</v>
      </c>
      <c r="B1052" t="str">
        <f t="shared" si="16"/>
        <v>35-44</v>
      </c>
      <c r="C1052" t="s">
        <v>21</v>
      </c>
      <c r="F1052" t="s">
        <v>22</v>
      </c>
      <c r="G1052">
        <v>748</v>
      </c>
      <c r="H1052" t="s">
        <v>23</v>
      </c>
      <c r="I1052">
        <v>9</v>
      </c>
      <c r="J1052">
        <v>2</v>
      </c>
      <c r="K1052" t="s">
        <v>27</v>
      </c>
      <c r="L1052">
        <v>1</v>
      </c>
      <c r="M1052">
        <v>1480</v>
      </c>
      <c r="O1052">
        <v>1</v>
      </c>
      <c r="P1052">
        <v>1</v>
      </c>
      <c r="Q1052" t="s">
        <v>26</v>
      </c>
      <c r="R1052">
        <v>4</v>
      </c>
      <c r="S1052">
        <v>3673</v>
      </c>
      <c r="T1052" t="s">
        <v>21</v>
      </c>
    </row>
    <row r="1053" spans="1:20" x14ac:dyDescent="0.25">
      <c r="A1053">
        <v>44</v>
      </c>
      <c r="B1053" t="str">
        <f t="shared" si="16"/>
        <v>35-44</v>
      </c>
      <c r="C1053" t="s">
        <v>21</v>
      </c>
      <c r="F1053" t="s">
        <v>22</v>
      </c>
      <c r="G1053">
        <v>383</v>
      </c>
      <c r="H1053" t="s">
        <v>18</v>
      </c>
      <c r="I1053">
        <v>1</v>
      </c>
      <c r="J1053">
        <v>5</v>
      </c>
      <c r="K1053" t="s">
        <v>34</v>
      </c>
      <c r="L1053">
        <v>1</v>
      </c>
      <c r="M1053">
        <v>1481</v>
      </c>
      <c r="O1053">
        <v>1</v>
      </c>
      <c r="P1053">
        <v>2</v>
      </c>
      <c r="Q1053" t="s">
        <v>20</v>
      </c>
      <c r="R1053">
        <v>3</v>
      </c>
      <c r="S1053">
        <v>4768</v>
      </c>
      <c r="T1053" t="s">
        <v>21</v>
      </c>
    </row>
    <row r="1054" spans="1:20" x14ac:dyDescent="0.25">
      <c r="A1054">
        <v>30</v>
      </c>
      <c r="B1054" t="str">
        <f t="shared" si="16"/>
        <v>25-34</v>
      </c>
      <c r="C1054" t="s">
        <v>21</v>
      </c>
      <c r="F1054" t="s">
        <v>30</v>
      </c>
      <c r="G1054">
        <v>990</v>
      </c>
      <c r="H1054" t="s">
        <v>23</v>
      </c>
      <c r="I1054">
        <v>7</v>
      </c>
      <c r="J1054">
        <v>3</v>
      </c>
      <c r="K1054" t="s">
        <v>35</v>
      </c>
      <c r="L1054">
        <v>1</v>
      </c>
      <c r="M1054">
        <v>1482</v>
      </c>
      <c r="O1054">
        <v>3</v>
      </c>
      <c r="P1054">
        <v>1</v>
      </c>
      <c r="Q1054" t="s">
        <v>24</v>
      </c>
      <c r="R1054">
        <v>3</v>
      </c>
      <c r="S1054">
        <v>1274</v>
      </c>
      <c r="T1054" t="s">
        <v>21</v>
      </c>
    </row>
    <row r="1055" spans="1:20" x14ac:dyDescent="0.25">
      <c r="A1055">
        <v>57</v>
      </c>
      <c r="B1055" t="str">
        <f t="shared" si="16"/>
        <v>55+</v>
      </c>
      <c r="C1055" t="s">
        <v>21</v>
      </c>
      <c r="F1055" t="s">
        <v>17</v>
      </c>
      <c r="G1055">
        <v>405</v>
      </c>
      <c r="H1055" t="s">
        <v>23</v>
      </c>
      <c r="I1055">
        <v>1</v>
      </c>
      <c r="J1055">
        <v>2</v>
      </c>
      <c r="K1055" t="s">
        <v>19</v>
      </c>
      <c r="L1055">
        <v>1</v>
      </c>
      <c r="M1055">
        <v>1483</v>
      </c>
      <c r="O1055">
        <v>2</v>
      </c>
      <c r="P1055">
        <v>2</v>
      </c>
      <c r="Q1055" t="s">
        <v>24</v>
      </c>
      <c r="R1055">
        <v>3</v>
      </c>
      <c r="S1055">
        <v>4900</v>
      </c>
      <c r="T1055" t="s">
        <v>21</v>
      </c>
    </row>
    <row r="1056" spans="1:20" x14ac:dyDescent="0.25">
      <c r="A1056">
        <v>49</v>
      </c>
      <c r="B1056" t="str">
        <f t="shared" si="16"/>
        <v>45-54</v>
      </c>
      <c r="C1056" t="s">
        <v>21</v>
      </c>
      <c r="F1056" t="s">
        <v>17</v>
      </c>
      <c r="G1056">
        <v>1490</v>
      </c>
      <c r="H1056" t="s">
        <v>23</v>
      </c>
      <c r="I1056">
        <v>7</v>
      </c>
      <c r="J1056">
        <v>4</v>
      </c>
      <c r="K1056" t="s">
        <v>19</v>
      </c>
      <c r="L1056">
        <v>1</v>
      </c>
      <c r="M1056">
        <v>1484</v>
      </c>
      <c r="O1056">
        <v>3</v>
      </c>
      <c r="P1056">
        <v>3</v>
      </c>
      <c r="Q1056" t="s">
        <v>29</v>
      </c>
      <c r="R1056">
        <v>2</v>
      </c>
      <c r="S1056">
        <v>10466</v>
      </c>
      <c r="T1056" t="s">
        <v>21</v>
      </c>
    </row>
    <row r="1057" spans="1:20" x14ac:dyDescent="0.25">
      <c r="A1057">
        <v>34</v>
      </c>
      <c r="B1057" t="str">
        <f t="shared" si="16"/>
        <v>25-34</v>
      </c>
      <c r="C1057" t="s">
        <v>21</v>
      </c>
      <c r="F1057" t="s">
        <v>22</v>
      </c>
      <c r="G1057">
        <v>829</v>
      </c>
      <c r="H1057" t="s">
        <v>23</v>
      </c>
      <c r="I1057">
        <v>15</v>
      </c>
      <c r="J1057">
        <v>3</v>
      </c>
      <c r="K1057" t="s">
        <v>27</v>
      </c>
      <c r="L1057">
        <v>1</v>
      </c>
      <c r="M1057">
        <v>1485</v>
      </c>
      <c r="O1057">
        <v>2</v>
      </c>
      <c r="P1057">
        <v>4</v>
      </c>
      <c r="Q1057" t="s">
        <v>33</v>
      </c>
      <c r="R1057">
        <v>1</v>
      </c>
      <c r="S1057">
        <v>17007</v>
      </c>
      <c r="T1057" t="s">
        <v>21</v>
      </c>
    </row>
    <row r="1058" spans="1:20" x14ac:dyDescent="0.25">
      <c r="A1058">
        <v>28</v>
      </c>
      <c r="B1058" t="str">
        <f t="shared" si="16"/>
        <v>25-34</v>
      </c>
      <c r="C1058" t="s">
        <v>16</v>
      </c>
      <c r="F1058" t="s">
        <v>22</v>
      </c>
      <c r="G1058">
        <v>1496</v>
      </c>
      <c r="H1058" t="s">
        <v>18</v>
      </c>
      <c r="I1058">
        <v>1</v>
      </c>
      <c r="J1058">
        <v>3</v>
      </c>
      <c r="K1058" t="s">
        <v>35</v>
      </c>
      <c r="L1058">
        <v>1</v>
      </c>
      <c r="M1058">
        <v>1486</v>
      </c>
      <c r="O1058">
        <v>1</v>
      </c>
      <c r="P1058">
        <v>1</v>
      </c>
      <c r="Q1058" t="s">
        <v>32</v>
      </c>
      <c r="R1058">
        <v>3</v>
      </c>
      <c r="S1058">
        <v>2909</v>
      </c>
      <c r="T1058" t="s">
        <v>21</v>
      </c>
    </row>
    <row r="1059" spans="1:20" x14ac:dyDescent="0.25">
      <c r="A1059">
        <v>29</v>
      </c>
      <c r="B1059" t="str">
        <f t="shared" si="16"/>
        <v>25-34</v>
      </c>
      <c r="C1059" t="s">
        <v>16</v>
      </c>
      <c r="F1059" t="s">
        <v>22</v>
      </c>
      <c r="G1059">
        <v>115</v>
      </c>
      <c r="H1059" t="s">
        <v>18</v>
      </c>
      <c r="I1059">
        <v>13</v>
      </c>
      <c r="J1059">
        <v>3</v>
      </c>
      <c r="K1059" t="s">
        <v>35</v>
      </c>
      <c r="L1059">
        <v>1</v>
      </c>
      <c r="M1059">
        <v>1487</v>
      </c>
      <c r="O1059">
        <v>1</v>
      </c>
      <c r="P1059">
        <v>2</v>
      </c>
      <c r="Q1059" t="s">
        <v>20</v>
      </c>
      <c r="R1059">
        <v>2</v>
      </c>
      <c r="S1059">
        <v>5765</v>
      </c>
      <c r="T1059" t="s">
        <v>21</v>
      </c>
    </row>
    <row r="1060" spans="1:20" x14ac:dyDescent="0.25">
      <c r="A1060">
        <v>34</v>
      </c>
      <c r="B1060" t="str">
        <f t="shared" si="16"/>
        <v>25-34</v>
      </c>
      <c r="C1060" t="s">
        <v>16</v>
      </c>
      <c r="F1060" t="s">
        <v>17</v>
      </c>
      <c r="G1060">
        <v>790</v>
      </c>
      <c r="H1060" t="s">
        <v>18</v>
      </c>
      <c r="I1060">
        <v>24</v>
      </c>
      <c r="J1060">
        <v>4</v>
      </c>
      <c r="K1060" t="s">
        <v>27</v>
      </c>
      <c r="L1060">
        <v>1</v>
      </c>
      <c r="M1060">
        <v>1489</v>
      </c>
      <c r="O1060">
        <v>1</v>
      </c>
      <c r="P1060">
        <v>2</v>
      </c>
      <c r="Q1060" t="s">
        <v>20</v>
      </c>
      <c r="R1060">
        <v>2</v>
      </c>
      <c r="S1060">
        <v>4599</v>
      </c>
      <c r="T1060" t="s">
        <v>16</v>
      </c>
    </row>
    <row r="1061" spans="1:20" x14ac:dyDescent="0.25">
      <c r="A1061">
        <v>35</v>
      </c>
      <c r="B1061" t="str">
        <f t="shared" si="16"/>
        <v>35-44</v>
      </c>
      <c r="C1061" t="s">
        <v>21</v>
      </c>
      <c r="F1061" t="s">
        <v>17</v>
      </c>
      <c r="G1061">
        <v>660</v>
      </c>
      <c r="H1061" t="s">
        <v>18</v>
      </c>
      <c r="I1061">
        <v>7</v>
      </c>
      <c r="J1061">
        <v>1</v>
      </c>
      <c r="K1061" t="s">
        <v>19</v>
      </c>
      <c r="L1061">
        <v>1</v>
      </c>
      <c r="M1061">
        <v>1492</v>
      </c>
      <c r="O1061">
        <v>4</v>
      </c>
      <c r="P1061">
        <v>1</v>
      </c>
      <c r="Q1061" t="s">
        <v>32</v>
      </c>
      <c r="R1061">
        <v>3</v>
      </c>
      <c r="S1061">
        <v>2404</v>
      </c>
      <c r="T1061" t="s">
        <v>21</v>
      </c>
    </row>
    <row r="1062" spans="1:20" x14ac:dyDescent="0.25">
      <c r="A1062">
        <v>24</v>
      </c>
      <c r="B1062" t="str">
        <f t="shared" si="16"/>
        <v>18-24</v>
      </c>
      <c r="C1062" t="s">
        <v>16</v>
      </c>
      <c r="F1062" t="s">
        <v>22</v>
      </c>
      <c r="G1062">
        <v>381</v>
      </c>
      <c r="H1062" t="s">
        <v>23</v>
      </c>
      <c r="I1062">
        <v>9</v>
      </c>
      <c r="J1062">
        <v>3</v>
      </c>
      <c r="K1062" t="s">
        <v>27</v>
      </c>
      <c r="L1062">
        <v>1</v>
      </c>
      <c r="M1062">
        <v>1494</v>
      </c>
      <c r="O1062">
        <v>2</v>
      </c>
      <c r="P1062">
        <v>1</v>
      </c>
      <c r="Q1062" t="s">
        <v>26</v>
      </c>
      <c r="R1062">
        <v>1</v>
      </c>
      <c r="S1062">
        <v>3172</v>
      </c>
      <c r="T1062" t="s">
        <v>16</v>
      </c>
    </row>
    <row r="1063" spans="1:20" x14ac:dyDescent="0.25">
      <c r="A1063">
        <v>24</v>
      </c>
      <c r="B1063" t="str">
        <f t="shared" si="16"/>
        <v>18-24</v>
      </c>
      <c r="C1063" t="s">
        <v>21</v>
      </c>
      <c r="F1063" t="s">
        <v>30</v>
      </c>
      <c r="G1063">
        <v>830</v>
      </c>
      <c r="H1063" t="s">
        <v>18</v>
      </c>
      <c r="I1063">
        <v>13</v>
      </c>
      <c r="J1063">
        <v>2</v>
      </c>
      <c r="K1063" t="s">
        <v>19</v>
      </c>
      <c r="L1063">
        <v>1</v>
      </c>
      <c r="M1063">
        <v>1495</v>
      </c>
      <c r="O1063">
        <v>4</v>
      </c>
      <c r="P1063">
        <v>1</v>
      </c>
      <c r="Q1063" t="s">
        <v>32</v>
      </c>
      <c r="R1063">
        <v>2</v>
      </c>
      <c r="S1063">
        <v>2033</v>
      </c>
      <c r="T1063" t="s">
        <v>21</v>
      </c>
    </row>
    <row r="1064" spans="1:20" x14ac:dyDescent="0.25">
      <c r="A1064">
        <v>44</v>
      </c>
      <c r="B1064" t="str">
        <f t="shared" si="16"/>
        <v>35-44</v>
      </c>
      <c r="C1064" t="s">
        <v>21</v>
      </c>
      <c r="F1064" t="s">
        <v>22</v>
      </c>
      <c r="G1064">
        <v>1193</v>
      </c>
      <c r="H1064" t="s">
        <v>23</v>
      </c>
      <c r="I1064">
        <v>2</v>
      </c>
      <c r="J1064">
        <v>1</v>
      </c>
      <c r="K1064" t="s">
        <v>27</v>
      </c>
      <c r="L1064">
        <v>1</v>
      </c>
      <c r="M1064">
        <v>1496</v>
      </c>
      <c r="O1064">
        <v>2</v>
      </c>
      <c r="P1064">
        <v>3</v>
      </c>
      <c r="Q1064" t="s">
        <v>28</v>
      </c>
      <c r="R1064">
        <v>3</v>
      </c>
      <c r="S1064">
        <v>10209</v>
      </c>
      <c r="T1064" t="s">
        <v>16</v>
      </c>
    </row>
    <row r="1065" spans="1:20" x14ac:dyDescent="0.25">
      <c r="A1065">
        <v>29</v>
      </c>
      <c r="B1065" t="str">
        <f t="shared" si="16"/>
        <v>25-34</v>
      </c>
      <c r="C1065" t="s">
        <v>21</v>
      </c>
      <c r="F1065" t="s">
        <v>17</v>
      </c>
      <c r="G1065">
        <v>1246</v>
      </c>
      <c r="H1065" t="s">
        <v>18</v>
      </c>
      <c r="I1065">
        <v>19</v>
      </c>
      <c r="J1065">
        <v>3</v>
      </c>
      <c r="K1065" t="s">
        <v>19</v>
      </c>
      <c r="L1065">
        <v>1</v>
      </c>
      <c r="M1065">
        <v>1497</v>
      </c>
      <c r="O1065">
        <v>3</v>
      </c>
      <c r="P1065">
        <v>2</v>
      </c>
      <c r="Q1065" t="s">
        <v>20</v>
      </c>
      <c r="R1065">
        <v>3</v>
      </c>
      <c r="S1065">
        <v>8620</v>
      </c>
      <c r="T1065" t="s">
        <v>21</v>
      </c>
    </row>
    <row r="1066" spans="1:20" x14ac:dyDescent="0.25">
      <c r="A1066">
        <v>30</v>
      </c>
      <c r="B1066" t="str">
        <f t="shared" si="16"/>
        <v>25-34</v>
      </c>
      <c r="C1066" t="s">
        <v>21</v>
      </c>
      <c r="F1066" t="s">
        <v>17</v>
      </c>
      <c r="G1066">
        <v>330</v>
      </c>
      <c r="H1066" t="s">
        <v>36</v>
      </c>
      <c r="I1066">
        <v>1</v>
      </c>
      <c r="J1066">
        <v>3</v>
      </c>
      <c r="K1066" t="s">
        <v>19</v>
      </c>
      <c r="L1066">
        <v>1</v>
      </c>
      <c r="M1066">
        <v>1499</v>
      </c>
      <c r="O1066">
        <v>3</v>
      </c>
      <c r="P1066">
        <v>1</v>
      </c>
      <c r="Q1066" t="s">
        <v>36</v>
      </c>
      <c r="R1066">
        <v>3</v>
      </c>
      <c r="S1066">
        <v>2064</v>
      </c>
      <c r="T1066" t="s">
        <v>21</v>
      </c>
    </row>
    <row r="1067" spans="1:20" x14ac:dyDescent="0.25">
      <c r="A1067">
        <v>55</v>
      </c>
      <c r="B1067" t="str">
        <f t="shared" si="16"/>
        <v>55+</v>
      </c>
      <c r="C1067" t="s">
        <v>21</v>
      </c>
      <c r="F1067" t="s">
        <v>17</v>
      </c>
      <c r="G1067">
        <v>1229</v>
      </c>
      <c r="H1067" t="s">
        <v>23</v>
      </c>
      <c r="I1067">
        <v>4</v>
      </c>
      <c r="J1067">
        <v>4</v>
      </c>
      <c r="K1067" t="s">
        <v>19</v>
      </c>
      <c r="L1067">
        <v>1</v>
      </c>
      <c r="M1067">
        <v>1501</v>
      </c>
      <c r="O1067">
        <v>4</v>
      </c>
      <c r="P1067">
        <v>2</v>
      </c>
      <c r="Q1067" t="s">
        <v>29</v>
      </c>
      <c r="R1067">
        <v>3</v>
      </c>
      <c r="S1067">
        <v>4035</v>
      </c>
      <c r="T1067" t="s">
        <v>16</v>
      </c>
    </row>
    <row r="1068" spans="1:20" x14ac:dyDescent="0.25">
      <c r="A1068">
        <v>33</v>
      </c>
      <c r="B1068" t="str">
        <f t="shared" si="16"/>
        <v>25-34</v>
      </c>
      <c r="C1068" t="s">
        <v>21</v>
      </c>
      <c r="F1068" t="s">
        <v>17</v>
      </c>
      <c r="G1068">
        <v>1099</v>
      </c>
      <c r="H1068" t="s">
        <v>23</v>
      </c>
      <c r="I1068">
        <v>4</v>
      </c>
      <c r="J1068">
        <v>4</v>
      </c>
      <c r="K1068" t="s">
        <v>27</v>
      </c>
      <c r="L1068">
        <v>1</v>
      </c>
      <c r="M1068">
        <v>1502</v>
      </c>
      <c r="O1068">
        <v>1</v>
      </c>
      <c r="P1068">
        <v>1</v>
      </c>
      <c r="Q1068" t="s">
        <v>26</v>
      </c>
      <c r="R1068">
        <v>2</v>
      </c>
      <c r="S1068">
        <v>3838</v>
      </c>
      <c r="T1068" t="s">
        <v>21</v>
      </c>
    </row>
    <row r="1069" spans="1:20" x14ac:dyDescent="0.25">
      <c r="A1069">
        <v>47</v>
      </c>
      <c r="B1069" t="str">
        <f t="shared" si="16"/>
        <v>45-54</v>
      </c>
      <c r="C1069" t="s">
        <v>21</v>
      </c>
      <c r="F1069" t="s">
        <v>17</v>
      </c>
      <c r="G1069">
        <v>571</v>
      </c>
      <c r="H1069" t="s">
        <v>18</v>
      </c>
      <c r="I1069">
        <v>14</v>
      </c>
      <c r="J1069">
        <v>3</v>
      </c>
      <c r="K1069" t="s">
        <v>27</v>
      </c>
      <c r="L1069">
        <v>1</v>
      </c>
      <c r="M1069">
        <v>1503</v>
      </c>
      <c r="O1069">
        <v>3</v>
      </c>
      <c r="P1069">
        <v>2</v>
      </c>
      <c r="Q1069" t="s">
        <v>20</v>
      </c>
      <c r="R1069">
        <v>3</v>
      </c>
      <c r="S1069">
        <v>4591</v>
      </c>
      <c r="T1069" t="s">
        <v>16</v>
      </c>
    </row>
    <row r="1070" spans="1:20" x14ac:dyDescent="0.25">
      <c r="A1070">
        <v>28</v>
      </c>
      <c r="B1070" t="str">
        <f t="shared" si="16"/>
        <v>25-34</v>
      </c>
      <c r="C1070" t="s">
        <v>16</v>
      </c>
      <c r="F1070" t="s">
        <v>22</v>
      </c>
      <c r="G1070">
        <v>289</v>
      </c>
      <c r="H1070" t="s">
        <v>23</v>
      </c>
      <c r="I1070">
        <v>2</v>
      </c>
      <c r="J1070">
        <v>2</v>
      </c>
      <c r="K1070" t="s">
        <v>27</v>
      </c>
      <c r="L1070">
        <v>1</v>
      </c>
      <c r="M1070">
        <v>1504</v>
      </c>
      <c r="O1070">
        <v>3</v>
      </c>
      <c r="P1070">
        <v>1</v>
      </c>
      <c r="Q1070" t="s">
        <v>26</v>
      </c>
      <c r="R1070">
        <v>1</v>
      </c>
      <c r="S1070">
        <v>2561</v>
      </c>
      <c r="T1070" t="s">
        <v>21</v>
      </c>
    </row>
    <row r="1071" spans="1:20" x14ac:dyDescent="0.25">
      <c r="A1071">
        <v>28</v>
      </c>
      <c r="B1071" t="str">
        <f t="shared" si="16"/>
        <v>25-34</v>
      </c>
      <c r="C1071" t="s">
        <v>21</v>
      </c>
      <c r="F1071" t="s">
        <v>17</v>
      </c>
      <c r="G1071">
        <v>1423</v>
      </c>
      <c r="H1071" t="s">
        <v>23</v>
      </c>
      <c r="I1071">
        <v>1</v>
      </c>
      <c r="J1071">
        <v>3</v>
      </c>
      <c r="K1071" t="s">
        <v>19</v>
      </c>
      <c r="L1071">
        <v>1</v>
      </c>
      <c r="M1071">
        <v>1506</v>
      </c>
      <c r="O1071">
        <v>1</v>
      </c>
      <c r="P1071">
        <v>1</v>
      </c>
      <c r="Q1071" t="s">
        <v>24</v>
      </c>
      <c r="R1071">
        <v>3</v>
      </c>
      <c r="S1071">
        <v>1563</v>
      </c>
      <c r="T1071" t="s">
        <v>21</v>
      </c>
    </row>
    <row r="1072" spans="1:20" x14ac:dyDescent="0.25">
      <c r="A1072">
        <v>28</v>
      </c>
      <c r="B1072" t="str">
        <f t="shared" si="16"/>
        <v>25-34</v>
      </c>
      <c r="C1072" t="s">
        <v>21</v>
      </c>
      <c r="F1072" t="s">
        <v>22</v>
      </c>
      <c r="G1072">
        <v>467</v>
      </c>
      <c r="H1072" t="s">
        <v>18</v>
      </c>
      <c r="I1072">
        <v>7</v>
      </c>
      <c r="J1072">
        <v>3</v>
      </c>
      <c r="K1072" t="s">
        <v>19</v>
      </c>
      <c r="L1072">
        <v>1</v>
      </c>
      <c r="M1072">
        <v>1507</v>
      </c>
      <c r="O1072">
        <v>3</v>
      </c>
      <c r="P1072">
        <v>2</v>
      </c>
      <c r="Q1072" t="s">
        <v>20</v>
      </c>
      <c r="R1072">
        <v>1</v>
      </c>
      <c r="S1072">
        <v>4898</v>
      </c>
      <c r="T1072" t="s">
        <v>21</v>
      </c>
    </row>
    <row r="1073" spans="1:20" x14ac:dyDescent="0.25">
      <c r="A1073">
        <v>49</v>
      </c>
      <c r="B1073" t="str">
        <f t="shared" si="16"/>
        <v>45-54</v>
      </c>
      <c r="C1073" t="s">
        <v>21</v>
      </c>
      <c r="F1073" t="s">
        <v>17</v>
      </c>
      <c r="G1073">
        <v>271</v>
      </c>
      <c r="H1073" t="s">
        <v>23</v>
      </c>
      <c r="I1073">
        <v>3</v>
      </c>
      <c r="J1073">
        <v>2</v>
      </c>
      <c r="K1073" t="s">
        <v>27</v>
      </c>
      <c r="L1073">
        <v>1</v>
      </c>
      <c r="M1073">
        <v>1509</v>
      </c>
      <c r="O1073">
        <v>3</v>
      </c>
      <c r="P1073">
        <v>2</v>
      </c>
      <c r="Q1073" t="s">
        <v>26</v>
      </c>
      <c r="R1073">
        <v>1</v>
      </c>
      <c r="S1073">
        <v>4789</v>
      </c>
      <c r="T1073" t="s">
        <v>21</v>
      </c>
    </row>
    <row r="1074" spans="1:20" x14ac:dyDescent="0.25">
      <c r="A1074">
        <v>29</v>
      </c>
      <c r="B1074" t="str">
        <f t="shared" si="16"/>
        <v>25-34</v>
      </c>
      <c r="C1074" t="s">
        <v>21</v>
      </c>
      <c r="F1074" t="s">
        <v>22</v>
      </c>
      <c r="G1074">
        <v>410</v>
      </c>
      <c r="H1074" t="s">
        <v>23</v>
      </c>
      <c r="I1074">
        <v>2</v>
      </c>
      <c r="J1074">
        <v>1</v>
      </c>
      <c r="K1074" t="s">
        <v>19</v>
      </c>
      <c r="L1074">
        <v>1</v>
      </c>
      <c r="M1074">
        <v>1513</v>
      </c>
      <c r="O1074">
        <v>4</v>
      </c>
      <c r="P1074">
        <v>1</v>
      </c>
      <c r="Q1074" t="s">
        <v>26</v>
      </c>
      <c r="R1074">
        <v>2</v>
      </c>
      <c r="S1074">
        <v>3180</v>
      </c>
      <c r="T1074" t="s">
        <v>21</v>
      </c>
    </row>
    <row r="1075" spans="1:20" x14ac:dyDescent="0.25">
      <c r="A1075">
        <v>28</v>
      </c>
      <c r="B1075" t="str">
        <f t="shared" si="16"/>
        <v>25-34</v>
      </c>
      <c r="C1075" t="s">
        <v>21</v>
      </c>
      <c r="F1075" t="s">
        <v>17</v>
      </c>
      <c r="G1075">
        <v>1083</v>
      </c>
      <c r="H1075" t="s">
        <v>23</v>
      </c>
      <c r="I1075">
        <v>29</v>
      </c>
      <c r="J1075">
        <v>1</v>
      </c>
      <c r="K1075" t="s">
        <v>19</v>
      </c>
      <c r="L1075">
        <v>1</v>
      </c>
      <c r="M1075">
        <v>1514</v>
      </c>
      <c r="O1075">
        <v>3</v>
      </c>
      <c r="P1075">
        <v>2</v>
      </c>
      <c r="Q1075" t="s">
        <v>28</v>
      </c>
      <c r="R1075">
        <v>2</v>
      </c>
      <c r="S1075">
        <v>6549</v>
      </c>
      <c r="T1075" t="s">
        <v>21</v>
      </c>
    </row>
    <row r="1076" spans="1:20" x14ac:dyDescent="0.25">
      <c r="A1076">
        <v>33</v>
      </c>
      <c r="B1076" t="str">
        <f t="shared" si="16"/>
        <v>25-34</v>
      </c>
      <c r="C1076" t="s">
        <v>21</v>
      </c>
      <c r="F1076" t="s">
        <v>17</v>
      </c>
      <c r="G1076">
        <v>516</v>
      </c>
      <c r="H1076" t="s">
        <v>23</v>
      </c>
      <c r="I1076">
        <v>8</v>
      </c>
      <c r="J1076">
        <v>5</v>
      </c>
      <c r="K1076" t="s">
        <v>19</v>
      </c>
      <c r="L1076">
        <v>1</v>
      </c>
      <c r="M1076">
        <v>1515</v>
      </c>
      <c r="O1076">
        <v>4</v>
      </c>
      <c r="P1076">
        <v>2</v>
      </c>
      <c r="Q1076" t="s">
        <v>29</v>
      </c>
      <c r="R1076">
        <v>3</v>
      </c>
      <c r="S1076">
        <v>6388</v>
      </c>
      <c r="T1076" t="s">
        <v>16</v>
      </c>
    </row>
    <row r="1077" spans="1:20" x14ac:dyDescent="0.25">
      <c r="A1077">
        <v>32</v>
      </c>
      <c r="B1077" t="str">
        <f t="shared" si="16"/>
        <v>25-34</v>
      </c>
      <c r="C1077" t="s">
        <v>21</v>
      </c>
      <c r="F1077" t="s">
        <v>17</v>
      </c>
      <c r="G1077">
        <v>495</v>
      </c>
      <c r="H1077" t="s">
        <v>23</v>
      </c>
      <c r="I1077">
        <v>10</v>
      </c>
      <c r="J1077">
        <v>3</v>
      </c>
      <c r="K1077" t="s">
        <v>27</v>
      </c>
      <c r="L1077">
        <v>1</v>
      </c>
      <c r="M1077">
        <v>1516</v>
      </c>
      <c r="O1077">
        <v>3</v>
      </c>
      <c r="P1077">
        <v>3</v>
      </c>
      <c r="Q1077" t="s">
        <v>31</v>
      </c>
      <c r="R1077">
        <v>4</v>
      </c>
      <c r="S1077">
        <v>11244</v>
      </c>
      <c r="T1077" t="s">
        <v>21</v>
      </c>
    </row>
    <row r="1078" spans="1:20" x14ac:dyDescent="0.25">
      <c r="A1078">
        <v>54</v>
      </c>
      <c r="B1078" t="str">
        <f t="shared" si="16"/>
        <v>45-54</v>
      </c>
      <c r="C1078" t="s">
        <v>21</v>
      </c>
      <c r="F1078" t="s">
        <v>22</v>
      </c>
      <c r="G1078">
        <v>1050</v>
      </c>
      <c r="H1078" t="s">
        <v>23</v>
      </c>
      <c r="I1078">
        <v>11</v>
      </c>
      <c r="J1078">
        <v>4</v>
      </c>
      <c r="K1078" t="s">
        <v>27</v>
      </c>
      <c r="L1078">
        <v>1</v>
      </c>
      <c r="M1078">
        <v>1520</v>
      </c>
      <c r="O1078">
        <v>2</v>
      </c>
      <c r="P1078">
        <v>4</v>
      </c>
      <c r="Q1078" t="s">
        <v>31</v>
      </c>
      <c r="R1078">
        <v>4</v>
      </c>
      <c r="S1078">
        <v>16032</v>
      </c>
      <c r="T1078" t="s">
        <v>21</v>
      </c>
    </row>
    <row r="1079" spans="1:20" x14ac:dyDescent="0.25">
      <c r="A1079">
        <v>29</v>
      </c>
      <c r="B1079" t="str">
        <f t="shared" si="16"/>
        <v>25-34</v>
      </c>
      <c r="C1079" t="s">
        <v>16</v>
      </c>
      <c r="F1079" t="s">
        <v>17</v>
      </c>
      <c r="G1079">
        <v>224</v>
      </c>
      <c r="H1079" t="s">
        <v>23</v>
      </c>
      <c r="I1079">
        <v>1</v>
      </c>
      <c r="J1079">
        <v>4</v>
      </c>
      <c r="K1079" t="s">
        <v>35</v>
      </c>
      <c r="L1079">
        <v>1</v>
      </c>
      <c r="M1079">
        <v>1522</v>
      </c>
      <c r="O1079">
        <v>1</v>
      </c>
      <c r="P1079">
        <v>1</v>
      </c>
      <c r="Q1079" t="s">
        <v>24</v>
      </c>
      <c r="R1079">
        <v>1</v>
      </c>
      <c r="S1079">
        <v>2362</v>
      </c>
      <c r="T1079" t="s">
        <v>21</v>
      </c>
    </row>
    <row r="1080" spans="1:20" x14ac:dyDescent="0.25">
      <c r="A1080">
        <v>44</v>
      </c>
      <c r="B1080" t="str">
        <f t="shared" si="16"/>
        <v>35-44</v>
      </c>
      <c r="C1080" t="s">
        <v>21</v>
      </c>
      <c r="F1080" t="s">
        <v>17</v>
      </c>
      <c r="G1080">
        <v>136</v>
      </c>
      <c r="H1080" t="s">
        <v>23</v>
      </c>
      <c r="I1080">
        <v>28</v>
      </c>
      <c r="J1080">
        <v>3</v>
      </c>
      <c r="K1080" t="s">
        <v>19</v>
      </c>
      <c r="L1080">
        <v>1</v>
      </c>
      <c r="M1080">
        <v>1523</v>
      </c>
      <c r="O1080">
        <v>4</v>
      </c>
      <c r="P1080">
        <v>4</v>
      </c>
      <c r="Q1080" t="s">
        <v>33</v>
      </c>
      <c r="R1080">
        <v>1</v>
      </c>
      <c r="S1080">
        <v>16328</v>
      </c>
      <c r="T1080" t="s">
        <v>21</v>
      </c>
    </row>
    <row r="1081" spans="1:20" x14ac:dyDescent="0.25">
      <c r="A1081">
        <v>39</v>
      </c>
      <c r="B1081" t="str">
        <f t="shared" si="16"/>
        <v>35-44</v>
      </c>
      <c r="C1081" t="s">
        <v>21</v>
      </c>
      <c r="F1081" t="s">
        <v>17</v>
      </c>
      <c r="G1081">
        <v>1089</v>
      </c>
      <c r="H1081" t="s">
        <v>23</v>
      </c>
      <c r="I1081">
        <v>6</v>
      </c>
      <c r="J1081">
        <v>3</v>
      </c>
      <c r="K1081" t="s">
        <v>19</v>
      </c>
      <c r="L1081">
        <v>1</v>
      </c>
      <c r="M1081">
        <v>1525</v>
      </c>
      <c r="O1081">
        <v>2</v>
      </c>
      <c r="P1081">
        <v>3</v>
      </c>
      <c r="Q1081" t="s">
        <v>28</v>
      </c>
      <c r="R1081">
        <v>2</v>
      </c>
      <c r="S1081">
        <v>8376</v>
      </c>
      <c r="T1081" t="s">
        <v>21</v>
      </c>
    </row>
    <row r="1082" spans="1:20" x14ac:dyDescent="0.25">
      <c r="A1082">
        <v>46</v>
      </c>
      <c r="B1082" t="str">
        <f t="shared" si="16"/>
        <v>45-54</v>
      </c>
      <c r="C1082" t="s">
        <v>21</v>
      </c>
      <c r="F1082" t="s">
        <v>17</v>
      </c>
      <c r="G1082">
        <v>228</v>
      </c>
      <c r="H1082" t="s">
        <v>18</v>
      </c>
      <c r="I1082">
        <v>3</v>
      </c>
      <c r="J1082">
        <v>3</v>
      </c>
      <c r="K1082" t="s">
        <v>19</v>
      </c>
      <c r="L1082">
        <v>1</v>
      </c>
      <c r="M1082">
        <v>1527</v>
      </c>
      <c r="O1082">
        <v>3</v>
      </c>
      <c r="P1082">
        <v>4</v>
      </c>
      <c r="Q1082" t="s">
        <v>31</v>
      </c>
      <c r="R1082">
        <v>2</v>
      </c>
      <c r="S1082">
        <v>16606</v>
      </c>
      <c r="T1082" t="s">
        <v>21</v>
      </c>
    </row>
    <row r="1083" spans="1:20" x14ac:dyDescent="0.25">
      <c r="A1083">
        <v>35</v>
      </c>
      <c r="B1083" t="str">
        <f t="shared" si="16"/>
        <v>35-44</v>
      </c>
      <c r="C1083" t="s">
        <v>21</v>
      </c>
      <c r="F1083" t="s">
        <v>17</v>
      </c>
      <c r="G1083">
        <v>1029</v>
      </c>
      <c r="H1083" t="s">
        <v>23</v>
      </c>
      <c r="I1083">
        <v>16</v>
      </c>
      <c r="J1083">
        <v>3</v>
      </c>
      <c r="K1083" t="s">
        <v>19</v>
      </c>
      <c r="L1083">
        <v>1</v>
      </c>
      <c r="M1083">
        <v>1529</v>
      </c>
      <c r="O1083">
        <v>4</v>
      </c>
      <c r="P1083">
        <v>3</v>
      </c>
      <c r="Q1083" t="s">
        <v>29</v>
      </c>
      <c r="R1083">
        <v>2</v>
      </c>
      <c r="S1083">
        <v>8606</v>
      </c>
      <c r="T1083" t="s">
        <v>21</v>
      </c>
    </row>
    <row r="1084" spans="1:20" x14ac:dyDescent="0.25">
      <c r="A1084">
        <v>23</v>
      </c>
      <c r="B1084" t="str">
        <f t="shared" si="16"/>
        <v>18-24</v>
      </c>
      <c r="C1084" t="s">
        <v>21</v>
      </c>
      <c r="F1084" t="s">
        <v>17</v>
      </c>
      <c r="G1084">
        <v>507</v>
      </c>
      <c r="H1084" t="s">
        <v>23</v>
      </c>
      <c r="I1084">
        <v>20</v>
      </c>
      <c r="J1084">
        <v>1</v>
      </c>
      <c r="K1084" t="s">
        <v>19</v>
      </c>
      <c r="L1084">
        <v>1</v>
      </c>
      <c r="M1084">
        <v>1533</v>
      </c>
      <c r="O1084">
        <v>1</v>
      </c>
      <c r="P1084">
        <v>2</v>
      </c>
      <c r="Q1084" t="s">
        <v>26</v>
      </c>
      <c r="R1084">
        <v>3</v>
      </c>
      <c r="S1084">
        <v>2272</v>
      </c>
      <c r="T1084" t="s">
        <v>21</v>
      </c>
    </row>
    <row r="1085" spans="1:20" x14ac:dyDescent="0.25">
      <c r="A1085">
        <v>40</v>
      </c>
      <c r="B1085" t="str">
        <f t="shared" si="16"/>
        <v>35-44</v>
      </c>
      <c r="C1085" t="s">
        <v>16</v>
      </c>
      <c r="F1085" t="s">
        <v>17</v>
      </c>
      <c r="G1085">
        <v>676</v>
      </c>
      <c r="H1085" t="s">
        <v>23</v>
      </c>
      <c r="I1085">
        <v>9</v>
      </c>
      <c r="J1085">
        <v>4</v>
      </c>
      <c r="K1085" t="s">
        <v>19</v>
      </c>
      <c r="L1085">
        <v>1</v>
      </c>
      <c r="M1085">
        <v>1534</v>
      </c>
      <c r="O1085">
        <v>4</v>
      </c>
      <c r="P1085">
        <v>1</v>
      </c>
      <c r="Q1085" t="s">
        <v>26</v>
      </c>
      <c r="R1085">
        <v>1</v>
      </c>
      <c r="S1085">
        <v>2018</v>
      </c>
      <c r="T1085" t="s">
        <v>21</v>
      </c>
    </row>
    <row r="1086" spans="1:20" x14ac:dyDescent="0.25">
      <c r="A1086">
        <v>34</v>
      </c>
      <c r="B1086" t="str">
        <f t="shared" si="16"/>
        <v>25-34</v>
      </c>
      <c r="C1086" t="s">
        <v>21</v>
      </c>
      <c r="F1086" t="s">
        <v>17</v>
      </c>
      <c r="G1086">
        <v>971</v>
      </c>
      <c r="H1086" t="s">
        <v>18</v>
      </c>
      <c r="I1086">
        <v>1</v>
      </c>
      <c r="J1086">
        <v>3</v>
      </c>
      <c r="K1086" t="s">
        <v>35</v>
      </c>
      <c r="L1086">
        <v>1</v>
      </c>
      <c r="M1086">
        <v>1535</v>
      </c>
      <c r="O1086">
        <v>4</v>
      </c>
      <c r="P1086">
        <v>3</v>
      </c>
      <c r="Q1086" t="s">
        <v>20</v>
      </c>
      <c r="R1086">
        <v>3</v>
      </c>
      <c r="S1086">
        <v>7083</v>
      </c>
      <c r="T1086" t="s">
        <v>16</v>
      </c>
    </row>
    <row r="1087" spans="1:20" x14ac:dyDescent="0.25">
      <c r="A1087">
        <v>31</v>
      </c>
      <c r="B1087" t="str">
        <f t="shared" si="16"/>
        <v>25-34</v>
      </c>
      <c r="C1087" t="s">
        <v>16</v>
      </c>
      <c r="F1087" t="s">
        <v>22</v>
      </c>
      <c r="G1087">
        <v>561</v>
      </c>
      <c r="H1087" t="s">
        <v>23</v>
      </c>
      <c r="I1087">
        <v>3</v>
      </c>
      <c r="J1087">
        <v>3</v>
      </c>
      <c r="K1087" t="s">
        <v>19</v>
      </c>
      <c r="L1087">
        <v>1</v>
      </c>
      <c r="M1087">
        <v>1537</v>
      </c>
      <c r="O1087">
        <v>4</v>
      </c>
      <c r="P1087">
        <v>1</v>
      </c>
      <c r="Q1087" t="s">
        <v>24</v>
      </c>
      <c r="R1087">
        <v>3</v>
      </c>
      <c r="S1087">
        <v>4084</v>
      </c>
      <c r="T1087" t="s">
        <v>21</v>
      </c>
    </row>
    <row r="1088" spans="1:20" x14ac:dyDescent="0.25">
      <c r="A1088">
        <v>50</v>
      </c>
      <c r="B1088" t="str">
        <f t="shared" si="16"/>
        <v>45-54</v>
      </c>
      <c r="C1088" t="s">
        <v>21</v>
      </c>
      <c r="F1088" t="s">
        <v>22</v>
      </c>
      <c r="G1088">
        <v>333</v>
      </c>
      <c r="H1088" t="s">
        <v>23</v>
      </c>
      <c r="I1088">
        <v>22</v>
      </c>
      <c r="J1088">
        <v>5</v>
      </c>
      <c r="K1088" t="s">
        <v>27</v>
      </c>
      <c r="L1088">
        <v>1</v>
      </c>
      <c r="M1088">
        <v>1539</v>
      </c>
      <c r="O1088">
        <v>3</v>
      </c>
      <c r="P1088">
        <v>4</v>
      </c>
      <c r="Q1088" t="s">
        <v>33</v>
      </c>
      <c r="R1088">
        <v>4</v>
      </c>
      <c r="S1088">
        <v>14411</v>
      </c>
      <c r="T1088" t="s">
        <v>16</v>
      </c>
    </row>
    <row r="1089" spans="1:20" x14ac:dyDescent="0.25">
      <c r="A1089">
        <v>34</v>
      </c>
      <c r="B1089" t="str">
        <f t="shared" si="16"/>
        <v>25-34</v>
      </c>
      <c r="C1089" t="s">
        <v>21</v>
      </c>
      <c r="F1089" t="s">
        <v>17</v>
      </c>
      <c r="G1089">
        <v>1440</v>
      </c>
      <c r="H1089" t="s">
        <v>18</v>
      </c>
      <c r="I1089">
        <v>7</v>
      </c>
      <c r="J1089">
        <v>2</v>
      </c>
      <c r="K1089" t="s">
        <v>35</v>
      </c>
      <c r="L1089">
        <v>1</v>
      </c>
      <c r="M1089">
        <v>1541</v>
      </c>
      <c r="O1089">
        <v>2</v>
      </c>
      <c r="P1089">
        <v>1</v>
      </c>
      <c r="Q1089" t="s">
        <v>32</v>
      </c>
      <c r="R1089">
        <v>3</v>
      </c>
      <c r="S1089">
        <v>2308</v>
      </c>
      <c r="T1089" t="s">
        <v>16</v>
      </c>
    </row>
    <row r="1090" spans="1:20" x14ac:dyDescent="0.25">
      <c r="A1090">
        <v>42</v>
      </c>
      <c r="B1090" t="str">
        <f t="shared" si="16"/>
        <v>35-44</v>
      </c>
      <c r="C1090" t="s">
        <v>21</v>
      </c>
      <c r="F1090" t="s">
        <v>17</v>
      </c>
      <c r="G1090">
        <v>1210</v>
      </c>
      <c r="H1090" t="s">
        <v>23</v>
      </c>
      <c r="I1090">
        <v>2</v>
      </c>
      <c r="J1090">
        <v>3</v>
      </c>
      <c r="K1090" t="s">
        <v>27</v>
      </c>
      <c r="L1090">
        <v>1</v>
      </c>
      <c r="M1090">
        <v>1542</v>
      </c>
      <c r="O1090">
        <v>3</v>
      </c>
      <c r="P1090">
        <v>1</v>
      </c>
      <c r="Q1090" t="s">
        <v>26</v>
      </c>
      <c r="R1090">
        <v>2</v>
      </c>
      <c r="S1090">
        <v>4841</v>
      </c>
      <c r="T1090" t="s">
        <v>21</v>
      </c>
    </row>
    <row r="1091" spans="1:20" x14ac:dyDescent="0.25">
      <c r="A1091">
        <v>37</v>
      </c>
      <c r="B1091" t="str">
        <f t="shared" ref="B1091:B1154" si="17">IF(A1091&lt;=24,"18-24",IF(A1091&lt;=34,"25-34",IF(A1091&lt;=44,"35-44",IF(A1091&lt;=54,"45-54","55+"))))</f>
        <v>35-44</v>
      </c>
      <c r="C1091" t="s">
        <v>21</v>
      </c>
      <c r="F1091" t="s">
        <v>17</v>
      </c>
      <c r="G1091">
        <v>674</v>
      </c>
      <c r="H1091" t="s">
        <v>23</v>
      </c>
      <c r="I1091">
        <v>13</v>
      </c>
      <c r="J1091">
        <v>3</v>
      </c>
      <c r="K1091" t="s">
        <v>27</v>
      </c>
      <c r="L1091">
        <v>1</v>
      </c>
      <c r="M1091">
        <v>1543</v>
      </c>
      <c r="O1091">
        <v>1</v>
      </c>
      <c r="P1091">
        <v>2</v>
      </c>
      <c r="Q1091" t="s">
        <v>24</v>
      </c>
      <c r="R1091">
        <v>4</v>
      </c>
      <c r="S1091">
        <v>4285</v>
      </c>
      <c r="T1091" t="s">
        <v>21</v>
      </c>
    </row>
    <row r="1092" spans="1:20" x14ac:dyDescent="0.25">
      <c r="A1092">
        <v>29</v>
      </c>
      <c r="B1092" t="str">
        <f t="shared" si="17"/>
        <v>25-34</v>
      </c>
      <c r="C1092" t="s">
        <v>21</v>
      </c>
      <c r="F1092" t="s">
        <v>17</v>
      </c>
      <c r="G1092">
        <v>441</v>
      </c>
      <c r="H1092" t="s">
        <v>23</v>
      </c>
      <c r="I1092">
        <v>8</v>
      </c>
      <c r="J1092">
        <v>1</v>
      </c>
      <c r="K1092" t="s">
        <v>25</v>
      </c>
      <c r="L1092">
        <v>1</v>
      </c>
      <c r="M1092">
        <v>1544</v>
      </c>
      <c r="O1092">
        <v>3</v>
      </c>
      <c r="P1092">
        <v>2</v>
      </c>
      <c r="Q1092" t="s">
        <v>29</v>
      </c>
      <c r="R1092">
        <v>1</v>
      </c>
      <c r="S1092">
        <v>9715</v>
      </c>
      <c r="T1092" t="s">
        <v>21</v>
      </c>
    </row>
    <row r="1093" spans="1:20" x14ac:dyDescent="0.25">
      <c r="A1093">
        <v>33</v>
      </c>
      <c r="B1093" t="str">
        <f t="shared" si="17"/>
        <v>25-34</v>
      </c>
      <c r="C1093" t="s">
        <v>21</v>
      </c>
      <c r="F1093" t="s">
        <v>17</v>
      </c>
      <c r="G1093">
        <v>575</v>
      </c>
      <c r="H1093" t="s">
        <v>23</v>
      </c>
      <c r="I1093">
        <v>25</v>
      </c>
      <c r="J1093">
        <v>3</v>
      </c>
      <c r="K1093" t="s">
        <v>19</v>
      </c>
      <c r="L1093">
        <v>1</v>
      </c>
      <c r="M1093">
        <v>1545</v>
      </c>
      <c r="O1093">
        <v>4</v>
      </c>
      <c r="P1093">
        <v>2</v>
      </c>
      <c r="Q1093" t="s">
        <v>28</v>
      </c>
      <c r="R1093">
        <v>2</v>
      </c>
      <c r="S1093">
        <v>4320</v>
      </c>
      <c r="T1093" t="s">
        <v>21</v>
      </c>
    </row>
    <row r="1094" spans="1:20" x14ac:dyDescent="0.25">
      <c r="A1094">
        <v>45</v>
      </c>
      <c r="B1094" t="str">
        <f t="shared" si="17"/>
        <v>45-54</v>
      </c>
      <c r="C1094" t="s">
        <v>21</v>
      </c>
      <c r="F1094" t="s">
        <v>17</v>
      </c>
      <c r="G1094">
        <v>950</v>
      </c>
      <c r="H1094" t="s">
        <v>23</v>
      </c>
      <c r="I1094">
        <v>28</v>
      </c>
      <c r="J1094">
        <v>3</v>
      </c>
      <c r="K1094" t="s">
        <v>35</v>
      </c>
      <c r="L1094">
        <v>1</v>
      </c>
      <c r="M1094">
        <v>1546</v>
      </c>
      <c r="O1094">
        <v>4</v>
      </c>
      <c r="P1094">
        <v>1</v>
      </c>
      <c r="Q1094" t="s">
        <v>24</v>
      </c>
      <c r="R1094">
        <v>4</v>
      </c>
      <c r="S1094">
        <v>2132</v>
      </c>
      <c r="T1094" t="s">
        <v>21</v>
      </c>
    </row>
    <row r="1095" spans="1:20" x14ac:dyDescent="0.25">
      <c r="A1095">
        <v>42</v>
      </c>
      <c r="B1095" t="str">
        <f t="shared" si="17"/>
        <v>35-44</v>
      </c>
      <c r="C1095" t="s">
        <v>21</v>
      </c>
      <c r="F1095" t="s">
        <v>22</v>
      </c>
      <c r="G1095">
        <v>288</v>
      </c>
      <c r="H1095" t="s">
        <v>23</v>
      </c>
      <c r="I1095">
        <v>2</v>
      </c>
      <c r="J1095">
        <v>3</v>
      </c>
      <c r="K1095" t="s">
        <v>19</v>
      </c>
      <c r="L1095">
        <v>1</v>
      </c>
      <c r="M1095">
        <v>1547</v>
      </c>
      <c r="O1095">
        <v>4</v>
      </c>
      <c r="P1095">
        <v>3</v>
      </c>
      <c r="Q1095" t="s">
        <v>29</v>
      </c>
      <c r="R1095">
        <v>4</v>
      </c>
      <c r="S1095">
        <v>10124</v>
      </c>
      <c r="T1095" t="s">
        <v>16</v>
      </c>
    </row>
    <row r="1096" spans="1:20" x14ac:dyDescent="0.25">
      <c r="A1096">
        <v>40</v>
      </c>
      <c r="B1096" t="str">
        <f t="shared" si="17"/>
        <v>35-44</v>
      </c>
      <c r="C1096" t="s">
        <v>21</v>
      </c>
      <c r="F1096" t="s">
        <v>17</v>
      </c>
      <c r="G1096">
        <v>1342</v>
      </c>
      <c r="H1096" t="s">
        <v>18</v>
      </c>
      <c r="I1096">
        <v>9</v>
      </c>
      <c r="J1096">
        <v>2</v>
      </c>
      <c r="K1096" t="s">
        <v>27</v>
      </c>
      <c r="L1096">
        <v>1</v>
      </c>
      <c r="M1096">
        <v>1548</v>
      </c>
      <c r="O1096">
        <v>1</v>
      </c>
      <c r="P1096">
        <v>2</v>
      </c>
      <c r="Q1096" t="s">
        <v>20</v>
      </c>
      <c r="R1096">
        <v>1</v>
      </c>
      <c r="S1096">
        <v>5473</v>
      </c>
      <c r="T1096" t="s">
        <v>21</v>
      </c>
    </row>
    <row r="1097" spans="1:20" x14ac:dyDescent="0.25">
      <c r="A1097">
        <v>33</v>
      </c>
      <c r="B1097" t="str">
        <f t="shared" si="17"/>
        <v>25-34</v>
      </c>
      <c r="C1097" t="s">
        <v>21</v>
      </c>
      <c r="F1097" t="s">
        <v>17</v>
      </c>
      <c r="G1097">
        <v>589</v>
      </c>
      <c r="H1097" t="s">
        <v>23</v>
      </c>
      <c r="I1097">
        <v>28</v>
      </c>
      <c r="J1097">
        <v>4</v>
      </c>
      <c r="K1097" t="s">
        <v>19</v>
      </c>
      <c r="L1097">
        <v>1</v>
      </c>
      <c r="M1097">
        <v>1549</v>
      </c>
      <c r="O1097">
        <v>2</v>
      </c>
      <c r="P1097">
        <v>2</v>
      </c>
      <c r="Q1097" t="s">
        <v>26</v>
      </c>
      <c r="R1097">
        <v>3</v>
      </c>
      <c r="S1097">
        <v>5207</v>
      </c>
      <c r="T1097" t="s">
        <v>16</v>
      </c>
    </row>
    <row r="1098" spans="1:20" x14ac:dyDescent="0.25">
      <c r="A1098">
        <v>40</v>
      </c>
      <c r="B1098" t="str">
        <f t="shared" si="17"/>
        <v>35-44</v>
      </c>
      <c r="C1098" t="s">
        <v>21</v>
      </c>
      <c r="F1098" t="s">
        <v>17</v>
      </c>
      <c r="G1098">
        <v>898</v>
      </c>
      <c r="H1098" t="s">
        <v>36</v>
      </c>
      <c r="I1098">
        <v>6</v>
      </c>
      <c r="J1098">
        <v>2</v>
      </c>
      <c r="K1098" t="s">
        <v>27</v>
      </c>
      <c r="L1098">
        <v>1</v>
      </c>
      <c r="M1098">
        <v>1550</v>
      </c>
      <c r="O1098">
        <v>3</v>
      </c>
      <c r="P1098">
        <v>4</v>
      </c>
      <c r="Q1098" t="s">
        <v>31</v>
      </c>
      <c r="R1098">
        <v>4</v>
      </c>
      <c r="S1098">
        <v>16437</v>
      </c>
      <c r="T1098" t="s">
        <v>16</v>
      </c>
    </row>
    <row r="1099" spans="1:20" x14ac:dyDescent="0.25">
      <c r="A1099">
        <v>24</v>
      </c>
      <c r="B1099" t="str">
        <f t="shared" si="17"/>
        <v>18-24</v>
      </c>
      <c r="C1099" t="s">
        <v>21</v>
      </c>
      <c r="F1099" t="s">
        <v>17</v>
      </c>
      <c r="G1099">
        <v>350</v>
      </c>
      <c r="H1099" t="s">
        <v>23</v>
      </c>
      <c r="I1099">
        <v>21</v>
      </c>
      <c r="J1099">
        <v>2</v>
      </c>
      <c r="K1099" t="s">
        <v>35</v>
      </c>
      <c r="L1099">
        <v>1</v>
      </c>
      <c r="M1099">
        <v>1551</v>
      </c>
      <c r="O1099">
        <v>3</v>
      </c>
      <c r="P1099">
        <v>1</v>
      </c>
      <c r="Q1099" t="s">
        <v>26</v>
      </c>
      <c r="R1099">
        <v>1</v>
      </c>
      <c r="S1099">
        <v>2296</v>
      </c>
      <c r="T1099" t="s">
        <v>21</v>
      </c>
    </row>
    <row r="1100" spans="1:20" x14ac:dyDescent="0.25">
      <c r="A1100">
        <v>40</v>
      </c>
      <c r="B1100" t="str">
        <f t="shared" si="17"/>
        <v>35-44</v>
      </c>
      <c r="C1100" t="s">
        <v>21</v>
      </c>
      <c r="F1100" t="s">
        <v>30</v>
      </c>
      <c r="G1100">
        <v>1142</v>
      </c>
      <c r="H1100" t="s">
        <v>23</v>
      </c>
      <c r="I1100">
        <v>8</v>
      </c>
      <c r="J1100">
        <v>2</v>
      </c>
      <c r="K1100" t="s">
        <v>19</v>
      </c>
      <c r="L1100">
        <v>1</v>
      </c>
      <c r="M1100">
        <v>1552</v>
      </c>
      <c r="O1100">
        <v>4</v>
      </c>
      <c r="P1100">
        <v>2</v>
      </c>
      <c r="Q1100" t="s">
        <v>29</v>
      </c>
      <c r="R1100">
        <v>4</v>
      </c>
      <c r="S1100">
        <v>4069</v>
      </c>
      <c r="T1100" t="s">
        <v>16</v>
      </c>
    </row>
    <row r="1101" spans="1:20" x14ac:dyDescent="0.25">
      <c r="A1101">
        <v>45</v>
      </c>
      <c r="B1101" t="str">
        <f t="shared" si="17"/>
        <v>45-54</v>
      </c>
      <c r="C1101" t="s">
        <v>21</v>
      </c>
      <c r="F1101" t="s">
        <v>17</v>
      </c>
      <c r="G1101">
        <v>538</v>
      </c>
      <c r="H1101" t="s">
        <v>23</v>
      </c>
      <c r="I1101">
        <v>1</v>
      </c>
      <c r="J1101">
        <v>4</v>
      </c>
      <c r="K1101" t="s">
        <v>35</v>
      </c>
      <c r="L1101">
        <v>1</v>
      </c>
      <c r="M1101">
        <v>1553</v>
      </c>
      <c r="O1101">
        <v>1</v>
      </c>
      <c r="P1101">
        <v>3</v>
      </c>
      <c r="Q1101" t="s">
        <v>29</v>
      </c>
      <c r="R1101">
        <v>2</v>
      </c>
      <c r="S1101">
        <v>7441</v>
      </c>
      <c r="T1101" t="s">
        <v>21</v>
      </c>
    </row>
    <row r="1102" spans="1:20" x14ac:dyDescent="0.25">
      <c r="A1102">
        <v>35</v>
      </c>
      <c r="B1102" t="str">
        <f t="shared" si="17"/>
        <v>35-44</v>
      </c>
      <c r="C1102" t="s">
        <v>21</v>
      </c>
      <c r="F1102" t="s">
        <v>17</v>
      </c>
      <c r="G1102">
        <v>1402</v>
      </c>
      <c r="H1102" t="s">
        <v>18</v>
      </c>
      <c r="I1102">
        <v>28</v>
      </c>
      <c r="J1102">
        <v>4</v>
      </c>
      <c r="K1102" t="s">
        <v>19</v>
      </c>
      <c r="L1102">
        <v>1</v>
      </c>
      <c r="M1102">
        <v>1554</v>
      </c>
      <c r="O1102">
        <v>2</v>
      </c>
      <c r="P1102">
        <v>1</v>
      </c>
      <c r="Q1102" t="s">
        <v>32</v>
      </c>
      <c r="R1102">
        <v>3</v>
      </c>
      <c r="S1102">
        <v>2430</v>
      </c>
      <c r="T1102" t="s">
        <v>21</v>
      </c>
    </row>
    <row r="1103" spans="1:20" x14ac:dyDescent="0.25">
      <c r="A1103">
        <v>32</v>
      </c>
      <c r="B1103" t="str">
        <f t="shared" si="17"/>
        <v>25-34</v>
      </c>
      <c r="C1103" t="s">
        <v>21</v>
      </c>
      <c r="F1103" t="s">
        <v>17</v>
      </c>
      <c r="G1103">
        <v>824</v>
      </c>
      <c r="H1103" t="s">
        <v>23</v>
      </c>
      <c r="I1103">
        <v>5</v>
      </c>
      <c r="J1103">
        <v>2</v>
      </c>
      <c r="K1103" t="s">
        <v>19</v>
      </c>
      <c r="L1103">
        <v>1</v>
      </c>
      <c r="M1103">
        <v>1555</v>
      </c>
      <c r="O1103">
        <v>4</v>
      </c>
      <c r="P1103">
        <v>2</v>
      </c>
      <c r="Q1103" t="s">
        <v>24</v>
      </c>
      <c r="R1103">
        <v>2</v>
      </c>
      <c r="S1103">
        <v>5878</v>
      </c>
      <c r="T1103" t="s">
        <v>21</v>
      </c>
    </row>
    <row r="1104" spans="1:20" x14ac:dyDescent="0.25">
      <c r="A1104">
        <v>36</v>
      </c>
      <c r="B1104" t="str">
        <f t="shared" si="17"/>
        <v>35-44</v>
      </c>
      <c r="C1104" t="s">
        <v>21</v>
      </c>
      <c r="F1104" t="s">
        <v>17</v>
      </c>
      <c r="G1104">
        <v>1157</v>
      </c>
      <c r="H1104" t="s">
        <v>18</v>
      </c>
      <c r="I1104">
        <v>2</v>
      </c>
      <c r="J1104">
        <v>4</v>
      </c>
      <c r="K1104" t="s">
        <v>19</v>
      </c>
      <c r="L1104">
        <v>1</v>
      </c>
      <c r="M1104">
        <v>1556</v>
      </c>
      <c r="O1104">
        <v>3</v>
      </c>
      <c r="P1104">
        <v>1</v>
      </c>
      <c r="Q1104" t="s">
        <v>32</v>
      </c>
      <c r="R1104">
        <v>4</v>
      </c>
      <c r="S1104">
        <v>2644</v>
      </c>
      <c r="T1104" t="s">
        <v>16</v>
      </c>
    </row>
    <row r="1105" spans="1:20" x14ac:dyDescent="0.25">
      <c r="A1105">
        <v>48</v>
      </c>
      <c r="B1105" t="str">
        <f t="shared" si="17"/>
        <v>45-54</v>
      </c>
      <c r="C1105" t="s">
        <v>21</v>
      </c>
      <c r="F1105" t="s">
        <v>17</v>
      </c>
      <c r="G1105">
        <v>492</v>
      </c>
      <c r="H1105" t="s">
        <v>18</v>
      </c>
      <c r="I1105">
        <v>16</v>
      </c>
      <c r="J1105">
        <v>4</v>
      </c>
      <c r="K1105" t="s">
        <v>19</v>
      </c>
      <c r="L1105">
        <v>1</v>
      </c>
      <c r="M1105">
        <v>1557</v>
      </c>
      <c r="O1105">
        <v>3</v>
      </c>
      <c r="P1105">
        <v>2</v>
      </c>
      <c r="Q1105" t="s">
        <v>20</v>
      </c>
      <c r="R1105">
        <v>3</v>
      </c>
      <c r="S1105">
        <v>6439</v>
      </c>
      <c r="T1105" t="s">
        <v>21</v>
      </c>
    </row>
    <row r="1106" spans="1:20" x14ac:dyDescent="0.25">
      <c r="A1106">
        <v>29</v>
      </c>
      <c r="B1106" t="str">
        <f t="shared" si="17"/>
        <v>25-34</v>
      </c>
      <c r="C1106" t="s">
        <v>21</v>
      </c>
      <c r="F1106" t="s">
        <v>17</v>
      </c>
      <c r="G1106">
        <v>598</v>
      </c>
      <c r="H1106" t="s">
        <v>23</v>
      </c>
      <c r="I1106">
        <v>9</v>
      </c>
      <c r="J1106">
        <v>3</v>
      </c>
      <c r="K1106" t="s">
        <v>19</v>
      </c>
      <c r="L1106">
        <v>1</v>
      </c>
      <c r="M1106">
        <v>1558</v>
      </c>
      <c r="O1106">
        <v>3</v>
      </c>
      <c r="P1106">
        <v>1</v>
      </c>
      <c r="Q1106" t="s">
        <v>24</v>
      </c>
      <c r="R1106">
        <v>3</v>
      </c>
      <c r="S1106">
        <v>2451</v>
      </c>
      <c r="T1106" t="s">
        <v>21</v>
      </c>
    </row>
    <row r="1107" spans="1:20" x14ac:dyDescent="0.25">
      <c r="A1107">
        <v>33</v>
      </c>
      <c r="B1107" t="str">
        <f t="shared" si="17"/>
        <v>25-34</v>
      </c>
      <c r="C1107" t="s">
        <v>21</v>
      </c>
      <c r="F1107" t="s">
        <v>17</v>
      </c>
      <c r="G1107">
        <v>1242</v>
      </c>
      <c r="H1107" t="s">
        <v>18</v>
      </c>
      <c r="I1107">
        <v>8</v>
      </c>
      <c r="J1107">
        <v>4</v>
      </c>
      <c r="K1107" t="s">
        <v>19</v>
      </c>
      <c r="L1107">
        <v>1</v>
      </c>
      <c r="M1107">
        <v>1560</v>
      </c>
      <c r="O1107">
        <v>1</v>
      </c>
      <c r="P1107">
        <v>2</v>
      </c>
      <c r="Q1107" t="s">
        <v>20</v>
      </c>
      <c r="R1107">
        <v>1</v>
      </c>
      <c r="S1107">
        <v>6392</v>
      </c>
      <c r="T1107" t="s">
        <v>21</v>
      </c>
    </row>
    <row r="1108" spans="1:20" x14ac:dyDescent="0.25">
      <c r="A1108">
        <v>30</v>
      </c>
      <c r="B1108" t="str">
        <f t="shared" si="17"/>
        <v>25-34</v>
      </c>
      <c r="C1108" t="s">
        <v>16</v>
      </c>
      <c r="F1108" t="s">
        <v>17</v>
      </c>
      <c r="G1108">
        <v>740</v>
      </c>
      <c r="H1108" t="s">
        <v>18</v>
      </c>
      <c r="I1108">
        <v>1</v>
      </c>
      <c r="J1108">
        <v>3</v>
      </c>
      <c r="K1108" t="s">
        <v>19</v>
      </c>
      <c r="L1108">
        <v>1</v>
      </c>
      <c r="M1108">
        <v>1562</v>
      </c>
      <c r="O1108">
        <v>2</v>
      </c>
      <c r="P1108">
        <v>2</v>
      </c>
      <c r="Q1108" t="s">
        <v>20</v>
      </c>
      <c r="R1108">
        <v>1</v>
      </c>
      <c r="S1108">
        <v>9714</v>
      </c>
      <c r="T1108" t="s">
        <v>21</v>
      </c>
    </row>
    <row r="1109" spans="1:20" x14ac:dyDescent="0.25">
      <c r="A1109">
        <v>38</v>
      </c>
      <c r="B1109" t="str">
        <f t="shared" si="17"/>
        <v>35-44</v>
      </c>
      <c r="C1109" t="s">
        <v>21</v>
      </c>
      <c r="F1109" t="s">
        <v>22</v>
      </c>
      <c r="G1109">
        <v>888</v>
      </c>
      <c r="H1109" t="s">
        <v>36</v>
      </c>
      <c r="I1109">
        <v>10</v>
      </c>
      <c r="J1109">
        <v>4</v>
      </c>
      <c r="K1109" t="s">
        <v>36</v>
      </c>
      <c r="L1109">
        <v>1</v>
      </c>
      <c r="M1109">
        <v>1563</v>
      </c>
      <c r="O1109">
        <v>3</v>
      </c>
      <c r="P1109">
        <v>2</v>
      </c>
      <c r="Q1109" t="s">
        <v>36</v>
      </c>
      <c r="R1109">
        <v>3</v>
      </c>
      <c r="S1109">
        <v>6077</v>
      </c>
      <c r="T1109" t="s">
        <v>21</v>
      </c>
    </row>
    <row r="1110" spans="1:20" x14ac:dyDescent="0.25">
      <c r="A1110">
        <v>35</v>
      </c>
      <c r="B1110" t="str">
        <f t="shared" si="17"/>
        <v>35-44</v>
      </c>
      <c r="C1110" t="s">
        <v>21</v>
      </c>
      <c r="F1110" t="s">
        <v>17</v>
      </c>
      <c r="G1110">
        <v>992</v>
      </c>
      <c r="H1110" t="s">
        <v>23</v>
      </c>
      <c r="I1110">
        <v>1</v>
      </c>
      <c r="J1110">
        <v>3</v>
      </c>
      <c r="K1110" t="s">
        <v>27</v>
      </c>
      <c r="L1110">
        <v>1</v>
      </c>
      <c r="M1110">
        <v>1564</v>
      </c>
      <c r="O1110">
        <v>4</v>
      </c>
      <c r="P1110">
        <v>1</v>
      </c>
      <c r="Q1110" t="s">
        <v>26</v>
      </c>
      <c r="R1110">
        <v>1</v>
      </c>
      <c r="S1110">
        <v>2450</v>
      </c>
      <c r="T1110" t="s">
        <v>21</v>
      </c>
    </row>
    <row r="1111" spans="1:20" x14ac:dyDescent="0.25">
      <c r="A1111">
        <v>30</v>
      </c>
      <c r="B1111" t="str">
        <f t="shared" si="17"/>
        <v>25-34</v>
      </c>
      <c r="C1111" t="s">
        <v>21</v>
      </c>
      <c r="F1111" t="s">
        <v>17</v>
      </c>
      <c r="G1111">
        <v>1288</v>
      </c>
      <c r="H1111" t="s">
        <v>18</v>
      </c>
      <c r="I1111">
        <v>29</v>
      </c>
      <c r="J1111">
        <v>4</v>
      </c>
      <c r="K1111" t="s">
        <v>35</v>
      </c>
      <c r="L1111">
        <v>1</v>
      </c>
      <c r="M1111">
        <v>1568</v>
      </c>
      <c r="O1111">
        <v>3</v>
      </c>
      <c r="P1111">
        <v>3</v>
      </c>
      <c r="Q1111" t="s">
        <v>20</v>
      </c>
      <c r="R1111">
        <v>2</v>
      </c>
      <c r="S1111">
        <v>9250</v>
      </c>
      <c r="T1111" t="s">
        <v>21</v>
      </c>
    </row>
    <row r="1112" spans="1:20" x14ac:dyDescent="0.25">
      <c r="A1112">
        <v>35</v>
      </c>
      <c r="B1112" t="str">
        <f t="shared" si="17"/>
        <v>35-44</v>
      </c>
      <c r="C1112" t="s">
        <v>16</v>
      </c>
      <c r="F1112" t="s">
        <v>17</v>
      </c>
      <c r="G1112">
        <v>104</v>
      </c>
      <c r="H1112" t="s">
        <v>23</v>
      </c>
      <c r="I1112">
        <v>2</v>
      </c>
      <c r="J1112">
        <v>3</v>
      </c>
      <c r="K1112" t="s">
        <v>19</v>
      </c>
      <c r="L1112">
        <v>1</v>
      </c>
      <c r="M1112">
        <v>1569</v>
      </c>
      <c r="O1112">
        <v>1</v>
      </c>
      <c r="P1112">
        <v>1</v>
      </c>
      <c r="Q1112" t="s">
        <v>26</v>
      </c>
      <c r="R1112">
        <v>1</v>
      </c>
      <c r="S1112">
        <v>2074</v>
      </c>
      <c r="T1112" t="s">
        <v>16</v>
      </c>
    </row>
    <row r="1113" spans="1:20" x14ac:dyDescent="0.25">
      <c r="A1113">
        <v>53</v>
      </c>
      <c r="B1113" t="str">
        <f t="shared" si="17"/>
        <v>45-54</v>
      </c>
      <c r="C1113" t="s">
        <v>16</v>
      </c>
      <c r="F1113" t="s">
        <v>17</v>
      </c>
      <c r="G1113">
        <v>607</v>
      </c>
      <c r="H1113" t="s">
        <v>23</v>
      </c>
      <c r="I1113">
        <v>2</v>
      </c>
      <c r="J1113">
        <v>5</v>
      </c>
      <c r="K1113" t="s">
        <v>35</v>
      </c>
      <c r="L1113">
        <v>1</v>
      </c>
      <c r="M1113">
        <v>1572</v>
      </c>
      <c r="O1113">
        <v>3</v>
      </c>
      <c r="P1113">
        <v>3</v>
      </c>
      <c r="Q1113" t="s">
        <v>28</v>
      </c>
      <c r="R1113">
        <v>4</v>
      </c>
      <c r="S1113">
        <v>10169</v>
      </c>
      <c r="T1113" t="s">
        <v>21</v>
      </c>
    </row>
    <row r="1114" spans="1:20" x14ac:dyDescent="0.25">
      <c r="A1114">
        <v>38</v>
      </c>
      <c r="B1114" t="str">
        <f t="shared" si="17"/>
        <v>35-44</v>
      </c>
      <c r="C1114" t="s">
        <v>16</v>
      </c>
      <c r="F1114" t="s">
        <v>17</v>
      </c>
      <c r="G1114">
        <v>903</v>
      </c>
      <c r="H1114" t="s">
        <v>23</v>
      </c>
      <c r="I1114">
        <v>2</v>
      </c>
      <c r="J1114">
        <v>3</v>
      </c>
      <c r="K1114" t="s">
        <v>27</v>
      </c>
      <c r="L1114">
        <v>1</v>
      </c>
      <c r="M1114">
        <v>1573</v>
      </c>
      <c r="O1114">
        <v>3</v>
      </c>
      <c r="P1114">
        <v>2</v>
      </c>
      <c r="Q1114" t="s">
        <v>28</v>
      </c>
      <c r="R1114">
        <v>2</v>
      </c>
      <c r="S1114">
        <v>4855</v>
      </c>
      <c r="T1114" t="s">
        <v>21</v>
      </c>
    </row>
    <row r="1115" spans="1:20" x14ac:dyDescent="0.25">
      <c r="A1115">
        <v>32</v>
      </c>
      <c r="B1115" t="str">
        <f t="shared" si="17"/>
        <v>25-34</v>
      </c>
      <c r="C1115" t="s">
        <v>21</v>
      </c>
      <c r="F1115" t="s">
        <v>30</v>
      </c>
      <c r="G1115">
        <v>1200</v>
      </c>
      <c r="H1115" t="s">
        <v>23</v>
      </c>
      <c r="I1115">
        <v>1</v>
      </c>
      <c r="J1115">
        <v>4</v>
      </c>
      <c r="K1115" t="s">
        <v>35</v>
      </c>
      <c r="L1115">
        <v>1</v>
      </c>
      <c r="M1115">
        <v>1574</v>
      </c>
      <c r="O1115">
        <v>4</v>
      </c>
      <c r="P1115">
        <v>2</v>
      </c>
      <c r="Q1115" t="s">
        <v>24</v>
      </c>
      <c r="R1115">
        <v>1</v>
      </c>
      <c r="S1115">
        <v>4087</v>
      </c>
      <c r="T1115" t="s">
        <v>21</v>
      </c>
    </row>
    <row r="1116" spans="1:20" x14ac:dyDescent="0.25">
      <c r="A1116">
        <v>48</v>
      </c>
      <c r="B1116" t="str">
        <f t="shared" si="17"/>
        <v>45-54</v>
      </c>
      <c r="C1116" t="s">
        <v>21</v>
      </c>
      <c r="F1116" t="s">
        <v>17</v>
      </c>
      <c r="G1116">
        <v>1108</v>
      </c>
      <c r="H1116" t="s">
        <v>23</v>
      </c>
      <c r="I1116">
        <v>15</v>
      </c>
      <c r="J1116">
        <v>4</v>
      </c>
      <c r="K1116" t="s">
        <v>25</v>
      </c>
      <c r="L1116">
        <v>1</v>
      </c>
      <c r="M1116">
        <v>1576</v>
      </c>
      <c r="O1116">
        <v>3</v>
      </c>
      <c r="P1116">
        <v>1</v>
      </c>
      <c r="Q1116" t="s">
        <v>24</v>
      </c>
      <c r="R1116">
        <v>1</v>
      </c>
      <c r="S1116">
        <v>2367</v>
      </c>
      <c r="T1116" t="s">
        <v>21</v>
      </c>
    </row>
    <row r="1117" spans="1:20" x14ac:dyDescent="0.25">
      <c r="A1117">
        <v>34</v>
      </c>
      <c r="B1117" t="str">
        <f t="shared" si="17"/>
        <v>25-34</v>
      </c>
      <c r="C1117" t="s">
        <v>21</v>
      </c>
      <c r="F1117" t="s">
        <v>17</v>
      </c>
      <c r="G1117">
        <v>479</v>
      </c>
      <c r="H1117" t="s">
        <v>23</v>
      </c>
      <c r="I1117">
        <v>7</v>
      </c>
      <c r="J1117">
        <v>4</v>
      </c>
      <c r="K1117" t="s">
        <v>27</v>
      </c>
      <c r="L1117">
        <v>1</v>
      </c>
      <c r="M1117">
        <v>1577</v>
      </c>
      <c r="O1117">
        <v>1</v>
      </c>
      <c r="P1117">
        <v>1</v>
      </c>
      <c r="Q1117" t="s">
        <v>24</v>
      </c>
      <c r="R1117">
        <v>4</v>
      </c>
      <c r="S1117">
        <v>2972</v>
      </c>
      <c r="T1117" t="s">
        <v>21</v>
      </c>
    </row>
    <row r="1118" spans="1:20" x14ac:dyDescent="0.25">
      <c r="A1118">
        <v>55</v>
      </c>
      <c r="B1118" t="str">
        <f t="shared" si="17"/>
        <v>55+</v>
      </c>
      <c r="C1118" t="s">
        <v>21</v>
      </c>
      <c r="F1118" t="s">
        <v>17</v>
      </c>
      <c r="G1118">
        <v>685</v>
      </c>
      <c r="H1118" t="s">
        <v>18</v>
      </c>
      <c r="I1118">
        <v>26</v>
      </c>
      <c r="J1118">
        <v>5</v>
      </c>
      <c r="K1118" t="s">
        <v>34</v>
      </c>
      <c r="L1118">
        <v>1</v>
      </c>
      <c r="M1118">
        <v>1578</v>
      </c>
      <c r="O1118">
        <v>3</v>
      </c>
      <c r="P1118">
        <v>5</v>
      </c>
      <c r="Q1118" t="s">
        <v>31</v>
      </c>
      <c r="R1118">
        <v>4</v>
      </c>
      <c r="S1118">
        <v>19586</v>
      </c>
      <c r="T1118" t="s">
        <v>21</v>
      </c>
    </row>
    <row r="1119" spans="1:20" x14ac:dyDescent="0.25">
      <c r="A1119">
        <v>34</v>
      </c>
      <c r="B1119" t="str">
        <f t="shared" si="17"/>
        <v>25-34</v>
      </c>
      <c r="C1119" t="s">
        <v>21</v>
      </c>
      <c r="F1119" t="s">
        <v>17</v>
      </c>
      <c r="G1119">
        <v>1351</v>
      </c>
      <c r="H1119" t="s">
        <v>23</v>
      </c>
      <c r="I1119">
        <v>1</v>
      </c>
      <c r="J1119">
        <v>4</v>
      </c>
      <c r="K1119" t="s">
        <v>19</v>
      </c>
      <c r="L1119">
        <v>1</v>
      </c>
      <c r="M1119">
        <v>1580</v>
      </c>
      <c r="O1119">
        <v>2</v>
      </c>
      <c r="P1119">
        <v>2</v>
      </c>
      <c r="Q1119" t="s">
        <v>24</v>
      </c>
      <c r="R1119">
        <v>4</v>
      </c>
      <c r="S1119">
        <v>5484</v>
      </c>
      <c r="T1119" t="s">
        <v>21</v>
      </c>
    </row>
    <row r="1120" spans="1:20" x14ac:dyDescent="0.25">
      <c r="A1120">
        <v>26</v>
      </c>
      <c r="B1120" t="str">
        <f t="shared" si="17"/>
        <v>25-34</v>
      </c>
      <c r="C1120" t="s">
        <v>21</v>
      </c>
      <c r="F1120" t="s">
        <v>17</v>
      </c>
      <c r="G1120">
        <v>474</v>
      </c>
      <c r="H1120" t="s">
        <v>23</v>
      </c>
      <c r="I1120">
        <v>3</v>
      </c>
      <c r="J1120">
        <v>3</v>
      </c>
      <c r="K1120" t="s">
        <v>19</v>
      </c>
      <c r="L1120">
        <v>1</v>
      </c>
      <c r="M1120">
        <v>1581</v>
      </c>
      <c r="O1120">
        <v>1</v>
      </c>
      <c r="P1120">
        <v>1</v>
      </c>
      <c r="Q1120" t="s">
        <v>24</v>
      </c>
      <c r="R1120">
        <v>4</v>
      </c>
      <c r="S1120">
        <v>2061</v>
      </c>
      <c r="T1120" t="s">
        <v>21</v>
      </c>
    </row>
    <row r="1121" spans="1:20" x14ac:dyDescent="0.25">
      <c r="A1121">
        <v>38</v>
      </c>
      <c r="B1121" t="str">
        <f t="shared" si="17"/>
        <v>35-44</v>
      </c>
      <c r="C1121" t="s">
        <v>21</v>
      </c>
      <c r="F1121" t="s">
        <v>17</v>
      </c>
      <c r="G1121">
        <v>1245</v>
      </c>
      <c r="H1121" t="s">
        <v>18</v>
      </c>
      <c r="I1121">
        <v>14</v>
      </c>
      <c r="J1121">
        <v>3</v>
      </c>
      <c r="K1121" t="s">
        <v>19</v>
      </c>
      <c r="L1121">
        <v>1</v>
      </c>
      <c r="M1121">
        <v>1582</v>
      </c>
      <c r="O1121">
        <v>3</v>
      </c>
      <c r="P1121">
        <v>2</v>
      </c>
      <c r="Q1121" t="s">
        <v>20</v>
      </c>
      <c r="R1121">
        <v>2</v>
      </c>
      <c r="S1121">
        <v>9924</v>
      </c>
      <c r="T1121" t="s">
        <v>21</v>
      </c>
    </row>
    <row r="1122" spans="1:20" x14ac:dyDescent="0.25">
      <c r="A1122">
        <v>38</v>
      </c>
      <c r="B1122" t="str">
        <f t="shared" si="17"/>
        <v>35-44</v>
      </c>
      <c r="C1122" t="s">
        <v>21</v>
      </c>
      <c r="F1122" t="s">
        <v>17</v>
      </c>
      <c r="G1122">
        <v>437</v>
      </c>
      <c r="H1122" t="s">
        <v>18</v>
      </c>
      <c r="I1122">
        <v>16</v>
      </c>
      <c r="J1122">
        <v>3</v>
      </c>
      <c r="K1122" t="s">
        <v>19</v>
      </c>
      <c r="L1122">
        <v>1</v>
      </c>
      <c r="M1122">
        <v>1583</v>
      </c>
      <c r="O1122">
        <v>2</v>
      </c>
      <c r="P1122">
        <v>2</v>
      </c>
      <c r="Q1122" t="s">
        <v>20</v>
      </c>
      <c r="R1122">
        <v>2</v>
      </c>
      <c r="S1122">
        <v>4198</v>
      </c>
      <c r="T1122" t="s">
        <v>21</v>
      </c>
    </row>
    <row r="1123" spans="1:20" x14ac:dyDescent="0.25">
      <c r="A1123">
        <v>36</v>
      </c>
      <c r="B1123" t="str">
        <f t="shared" si="17"/>
        <v>35-44</v>
      </c>
      <c r="C1123" t="s">
        <v>21</v>
      </c>
      <c r="F1123" t="s">
        <v>17</v>
      </c>
      <c r="G1123">
        <v>884</v>
      </c>
      <c r="H1123" t="s">
        <v>18</v>
      </c>
      <c r="I1123">
        <v>1</v>
      </c>
      <c r="J1123">
        <v>4</v>
      </c>
      <c r="K1123" t="s">
        <v>19</v>
      </c>
      <c r="L1123">
        <v>1</v>
      </c>
      <c r="M1123">
        <v>1585</v>
      </c>
      <c r="O1123">
        <v>2</v>
      </c>
      <c r="P1123">
        <v>2</v>
      </c>
      <c r="Q1123" t="s">
        <v>20</v>
      </c>
      <c r="R1123">
        <v>3</v>
      </c>
      <c r="S1123">
        <v>6815</v>
      </c>
      <c r="T1123" t="s">
        <v>21</v>
      </c>
    </row>
    <row r="1124" spans="1:20" x14ac:dyDescent="0.25">
      <c r="A1124">
        <v>29</v>
      </c>
      <c r="B1124" t="str">
        <f t="shared" si="17"/>
        <v>25-34</v>
      </c>
      <c r="C1124" t="s">
        <v>21</v>
      </c>
      <c r="F1124" t="s">
        <v>17</v>
      </c>
      <c r="G1124">
        <v>1370</v>
      </c>
      <c r="H1124" t="s">
        <v>23</v>
      </c>
      <c r="I1124">
        <v>3</v>
      </c>
      <c r="J1124">
        <v>1</v>
      </c>
      <c r="K1124" t="s">
        <v>27</v>
      </c>
      <c r="L1124">
        <v>1</v>
      </c>
      <c r="M1124">
        <v>1586</v>
      </c>
      <c r="O1124">
        <v>2</v>
      </c>
      <c r="P1124">
        <v>1</v>
      </c>
      <c r="Q1124" t="s">
        <v>26</v>
      </c>
      <c r="R1124">
        <v>1</v>
      </c>
      <c r="S1124">
        <v>4723</v>
      </c>
      <c r="T1124" t="s">
        <v>16</v>
      </c>
    </row>
    <row r="1125" spans="1:20" x14ac:dyDescent="0.25">
      <c r="A1125">
        <v>35</v>
      </c>
      <c r="B1125" t="str">
        <f t="shared" si="17"/>
        <v>35-44</v>
      </c>
      <c r="C1125" t="s">
        <v>21</v>
      </c>
      <c r="F1125" t="s">
        <v>17</v>
      </c>
      <c r="G1125">
        <v>670</v>
      </c>
      <c r="H1125" t="s">
        <v>23</v>
      </c>
      <c r="I1125">
        <v>10</v>
      </c>
      <c r="J1125">
        <v>4</v>
      </c>
      <c r="K1125" t="s">
        <v>27</v>
      </c>
      <c r="L1125">
        <v>1</v>
      </c>
      <c r="M1125">
        <v>1587</v>
      </c>
      <c r="O1125">
        <v>1</v>
      </c>
      <c r="P1125">
        <v>2</v>
      </c>
      <c r="Q1125" t="s">
        <v>29</v>
      </c>
      <c r="R1125">
        <v>3</v>
      </c>
      <c r="S1125">
        <v>6142</v>
      </c>
      <c r="T1125" t="s">
        <v>16</v>
      </c>
    </row>
    <row r="1126" spans="1:20" x14ac:dyDescent="0.25">
      <c r="A1126">
        <v>39</v>
      </c>
      <c r="B1126" t="str">
        <f t="shared" si="17"/>
        <v>35-44</v>
      </c>
      <c r="C1126" t="s">
        <v>21</v>
      </c>
      <c r="F1126" t="s">
        <v>17</v>
      </c>
      <c r="G1126">
        <v>1462</v>
      </c>
      <c r="H1126" t="s">
        <v>18</v>
      </c>
      <c r="I1126">
        <v>6</v>
      </c>
      <c r="J1126">
        <v>3</v>
      </c>
      <c r="K1126" t="s">
        <v>27</v>
      </c>
      <c r="L1126">
        <v>1</v>
      </c>
      <c r="M1126">
        <v>1588</v>
      </c>
      <c r="O1126">
        <v>4</v>
      </c>
      <c r="P1126">
        <v>3</v>
      </c>
      <c r="Q1126" t="s">
        <v>20</v>
      </c>
      <c r="R1126">
        <v>3</v>
      </c>
      <c r="S1126">
        <v>8237</v>
      </c>
      <c r="T1126" t="s">
        <v>21</v>
      </c>
    </row>
    <row r="1127" spans="1:20" x14ac:dyDescent="0.25">
      <c r="A1127">
        <v>29</v>
      </c>
      <c r="B1127" t="str">
        <f t="shared" si="17"/>
        <v>25-34</v>
      </c>
      <c r="C1127" t="s">
        <v>21</v>
      </c>
      <c r="F1127" t="s">
        <v>22</v>
      </c>
      <c r="G1127">
        <v>995</v>
      </c>
      <c r="H1127" t="s">
        <v>23</v>
      </c>
      <c r="I1127">
        <v>2</v>
      </c>
      <c r="J1127">
        <v>1</v>
      </c>
      <c r="K1127" t="s">
        <v>19</v>
      </c>
      <c r="L1127">
        <v>1</v>
      </c>
      <c r="M1127">
        <v>1590</v>
      </c>
      <c r="O1127">
        <v>1</v>
      </c>
      <c r="P1127">
        <v>2</v>
      </c>
      <c r="Q1127" t="s">
        <v>29</v>
      </c>
      <c r="R1127">
        <v>4</v>
      </c>
      <c r="S1127">
        <v>8853</v>
      </c>
      <c r="T1127" t="s">
        <v>21</v>
      </c>
    </row>
    <row r="1128" spans="1:20" x14ac:dyDescent="0.25">
      <c r="A1128">
        <v>50</v>
      </c>
      <c r="B1128" t="str">
        <f t="shared" si="17"/>
        <v>45-54</v>
      </c>
      <c r="C1128" t="s">
        <v>21</v>
      </c>
      <c r="F1128" t="s">
        <v>17</v>
      </c>
      <c r="G1128">
        <v>264</v>
      </c>
      <c r="H1128" t="s">
        <v>18</v>
      </c>
      <c r="I1128">
        <v>9</v>
      </c>
      <c r="J1128">
        <v>3</v>
      </c>
      <c r="K1128" t="s">
        <v>34</v>
      </c>
      <c r="L1128">
        <v>1</v>
      </c>
      <c r="M1128">
        <v>1591</v>
      </c>
      <c r="O1128">
        <v>3</v>
      </c>
      <c r="P1128">
        <v>5</v>
      </c>
      <c r="Q1128" t="s">
        <v>31</v>
      </c>
      <c r="R1128">
        <v>3</v>
      </c>
      <c r="S1128">
        <v>19331</v>
      </c>
      <c r="T1128" t="s">
        <v>16</v>
      </c>
    </row>
    <row r="1129" spans="1:20" x14ac:dyDescent="0.25">
      <c r="A1129">
        <v>23</v>
      </c>
      <c r="B1129" t="str">
        <f t="shared" si="17"/>
        <v>18-24</v>
      </c>
      <c r="C1129" t="s">
        <v>21</v>
      </c>
      <c r="F1129" t="s">
        <v>17</v>
      </c>
      <c r="G1129">
        <v>977</v>
      </c>
      <c r="H1129" t="s">
        <v>23</v>
      </c>
      <c r="I1129">
        <v>10</v>
      </c>
      <c r="J1129">
        <v>3</v>
      </c>
      <c r="K1129" t="s">
        <v>35</v>
      </c>
      <c r="L1129">
        <v>1</v>
      </c>
      <c r="M1129">
        <v>1592</v>
      </c>
      <c r="O1129">
        <v>4</v>
      </c>
      <c r="P1129">
        <v>1</v>
      </c>
      <c r="Q1129" t="s">
        <v>24</v>
      </c>
      <c r="R1129">
        <v>3</v>
      </c>
      <c r="S1129">
        <v>2073</v>
      </c>
      <c r="T1129" t="s">
        <v>21</v>
      </c>
    </row>
    <row r="1130" spans="1:20" x14ac:dyDescent="0.25">
      <c r="A1130">
        <v>36</v>
      </c>
      <c r="B1130" t="str">
        <f t="shared" si="17"/>
        <v>35-44</v>
      </c>
      <c r="C1130" t="s">
        <v>21</v>
      </c>
      <c r="F1130" t="s">
        <v>22</v>
      </c>
      <c r="G1130">
        <v>1302</v>
      </c>
      <c r="H1130" t="s">
        <v>23</v>
      </c>
      <c r="I1130">
        <v>6</v>
      </c>
      <c r="J1130">
        <v>4</v>
      </c>
      <c r="K1130" t="s">
        <v>19</v>
      </c>
      <c r="L1130">
        <v>1</v>
      </c>
      <c r="M1130">
        <v>1594</v>
      </c>
      <c r="O1130">
        <v>1</v>
      </c>
      <c r="P1130">
        <v>2</v>
      </c>
      <c r="Q1130" t="s">
        <v>26</v>
      </c>
      <c r="R1130">
        <v>1</v>
      </c>
      <c r="S1130">
        <v>5562</v>
      </c>
      <c r="T1130" t="s">
        <v>16</v>
      </c>
    </row>
    <row r="1131" spans="1:20" x14ac:dyDescent="0.25">
      <c r="A1131">
        <v>42</v>
      </c>
      <c r="B1131" t="str">
        <f t="shared" si="17"/>
        <v>35-44</v>
      </c>
      <c r="C1131" t="s">
        <v>21</v>
      </c>
      <c r="F1131" t="s">
        <v>17</v>
      </c>
      <c r="G1131">
        <v>1059</v>
      </c>
      <c r="H1131" t="s">
        <v>23</v>
      </c>
      <c r="I1131">
        <v>9</v>
      </c>
      <c r="J1131">
        <v>2</v>
      </c>
      <c r="K1131" t="s">
        <v>25</v>
      </c>
      <c r="L1131">
        <v>1</v>
      </c>
      <c r="M1131">
        <v>1595</v>
      </c>
      <c r="O1131">
        <v>4</v>
      </c>
      <c r="P1131">
        <v>5</v>
      </c>
      <c r="Q1131" t="s">
        <v>31</v>
      </c>
      <c r="R1131">
        <v>4</v>
      </c>
      <c r="S1131">
        <v>19613</v>
      </c>
      <c r="T1131" t="s">
        <v>21</v>
      </c>
    </row>
    <row r="1132" spans="1:20" x14ac:dyDescent="0.25">
      <c r="A1132">
        <v>35</v>
      </c>
      <c r="B1132" t="str">
        <f t="shared" si="17"/>
        <v>35-44</v>
      </c>
      <c r="C1132" t="s">
        <v>21</v>
      </c>
      <c r="F1132" t="s">
        <v>17</v>
      </c>
      <c r="G1132">
        <v>750</v>
      </c>
      <c r="H1132" t="s">
        <v>23</v>
      </c>
      <c r="I1132">
        <v>28</v>
      </c>
      <c r="J1132">
        <v>3</v>
      </c>
      <c r="K1132" t="s">
        <v>19</v>
      </c>
      <c r="L1132">
        <v>1</v>
      </c>
      <c r="M1132">
        <v>1596</v>
      </c>
      <c r="O1132">
        <v>2</v>
      </c>
      <c r="P1132">
        <v>2</v>
      </c>
      <c r="Q1132" t="s">
        <v>26</v>
      </c>
      <c r="R1132">
        <v>3</v>
      </c>
      <c r="S1132">
        <v>3407</v>
      </c>
      <c r="T1132" t="s">
        <v>21</v>
      </c>
    </row>
    <row r="1133" spans="1:20" x14ac:dyDescent="0.25">
      <c r="A1133">
        <v>34</v>
      </c>
      <c r="B1133" t="str">
        <f t="shared" si="17"/>
        <v>25-34</v>
      </c>
      <c r="C1133" t="s">
        <v>21</v>
      </c>
      <c r="F1133" t="s">
        <v>22</v>
      </c>
      <c r="G1133">
        <v>653</v>
      </c>
      <c r="H1133" t="s">
        <v>23</v>
      </c>
      <c r="I1133">
        <v>10</v>
      </c>
      <c r="J1133">
        <v>4</v>
      </c>
      <c r="K1133" t="s">
        <v>35</v>
      </c>
      <c r="L1133">
        <v>1</v>
      </c>
      <c r="M1133">
        <v>1597</v>
      </c>
      <c r="O1133">
        <v>4</v>
      </c>
      <c r="P1133">
        <v>2</v>
      </c>
      <c r="Q1133" t="s">
        <v>29</v>
      </c>
      <c r="R1133">
        <v>3</v>
      </c>
      <c r="S1133">
        <v>5063</v>
      </c>
      <c r="T1133" t="s">
        <v>21</v>
      </c>
    </row>
    <row r="1134" spans="1:20" x14ac:dyDescent="0.25">
      <c r="A1134">
        <v>40</v>
      </c>
      <c r="B1134" t="str">
        <f t="shared" si="17"/>
        <v>35-44</v>
      </c>
      <c r="C1134" t="s">
        <v>21</v>
      </c>
      <c r="F1134" t="s">
        <v>17</v>
      </c>
      <c r="G1134">
        <v>118</v>
      </c>
      <c r="H1134" t="s">
        <v>18</v>
      </c>
      <c r="I1134">
        <v>14</v>
      </c>
      <c r="J1134">
        <v>2</v>
      </c>
      <c r="K1134" t="s">
        <v>19</v>
      </c>
      <c r="L1134">
        <v>1</v>
      </c>
      <c r="M1134">
        <v>1598</v>
      </c>
      <c r="O1134">
        <v>4</v>
      </c>
      <c r="P1134">
        <v>2</v>
      </c>
      <c r="Q1134" t="s">
        <v>20</v>
      </c>
      <c r="R1134">
        <v>1</v>
      </c>
      <c r="S1134">
        <v>4639</v>
      </c>
      <c r="T1134" t="s">
        <v>21</v>
      </c>
    </row>
    <row r="1135" spans="1:20" x14ac:dyDescent="0.25">
      <c r="A1135">
        <v>43</v>
      </c>
      <c r="B1135" t="str">
        <f t="shared" si="17"/>
        <v>35-44</v>
      </c>
      <c r="C1135" t="s">
        <v>21</v>
      </c>
      <c r="F1135" t="s">
        <v>17</v>
      </c>
      <c r="G1135">
        <v>990</v>
      </c>
      <c r="H1135" t="s">
        <v>23</v>
      </c>
      <c r="I1135">
        <v>27</v>
      </c>
      <c r="J1135">
        <v>3</v>
      </c>
      <c r="K1135" t="s">
        <v>35</v>
      </c>
      <c r="L1135">
        <v>1</v>
      </c>
      <c r="M1135">
        <v>1599</v>
      </c>
      <c r="O1135">
        <v>4</v>
      </c>
      <c r="P1135">
        <v>1</v>
      </c>
      <c r="Q1135" t="s">
        <v>26</v>
      </c>
      <c r="R1135">
        <v>2</v>
      </c>
      <c r="S1135">
        <v>4876</v>
      </c>
      <c r="T1135" t="s">
        <v>21</v>
      </c>
    </row>
    <row r="1136" spans="1:20" x14ac:dyDescent="0.25">
      <c r="A1136">
        <v>35</v>
      </c>
      <c r="B1136" t="str">
        <f t="shared" si="17"/>
        <v>35-44</v>
      </c>
      <c r="C1136" t="s">
        <v>21</v>
      </c>
      <c r="F1136" t="s">
        <v>17</v>
      </c>
      <c r="G1136">
        <v>1349</v>
      </c>
      <c r="H1136" t="s">
        <v>23</v>
      </c>
      <c r="I1136">
        <v>7</v>
      </c>
      <c r="J1136">
        <v>2</v>
      </c>
      <c r="K1136" t="s">
        <v>19</v>
      </c>
      <c r="L1136">
        <v>1</v>
      </c>
      <c r="M1136">
        <v>1601</v>
      </c>
      <c r="O1136">
        <v>3</v>
      </c>
      <c r="P1136">
        <v>1</v>
      </c>
      <c r="Q1136" t="s">
        <v>26</v>
      </c>
      <c r="R1136">
        <v>4</v>
      </c>
      <c r="S1136">
        <v>2690</v>
      </c>
      <c r="T1136" t="s">
        <v>21</v>
      </c>
    </row>
    <row r="1137" spans="1:20" x14ac:dyDescent="0.25">
      <c r="A1137">
        <v>46</v>
      </c>
      <c r="B1137" t="str">
        <f t="shared" si="17"/>
        <v>45-54</v>
      </c>
      <c r="C1137" t="s">
        <v>21</v>
      </c>
      <c r="F1137" t="s">
        <v>17</v>
      </c>
      <c r="G1137">
        <v>563</v>
      </c>
      <c r="H1137" t="s">
        <v>18</v>
      </c>
      <c r="I1137">
        <v>1</v>
      </c>
      <c r="J1137">
        <v>4</v>
      </c>
      <c r="K1137" t="s">
        <v>19</v>
      </c>
      <c r="L1137">
        <v>1</v>
      </c>
      <c r="M1137">
        <v>1602</v>
      </c>
      <c r="O1137">
        <v>4</v>
      </c>
      <c r="P1137">
        <v>4</v>
      </c>
      <c r="Q1137" t="s">
        <v>31</v>
      </c>
      <c r="R1137">
        <v>1</v>
      </c>
      <c r="S1137">
        <v>17567</v>
      </c>
      <c r="T1137" t="s">
        <v>21</v>
      </c>
    </row>
    <row r="1138" spans="1:20" x14ac:dyDescent="0.25">
      <c r="A1138">
        <v>28</v>
      </c>
      <c r="B1138" t="str">
        <f t="shared" si="17"/>
        <v>25-34</v>
      </c>
      <c r="C1138" t="s">
        <v>16</v>
      </c>
      <c r="F1138" t="s">
        <v>17</v>
      </c>
      <c r="G1138">
        <v>329</v>
      </c>
      <c r="H1138" t="s">
        <v>23</v>
      </c>
      <c r="I1138">
        <v>24</v>
      </c>
      <c r="J1138">
        <v>3</v>
      </c>
      <c r="K1138" t="s">
        <v>27</v>
      </c>
      <c r="L1138">
        <v>1</v>
      </c>
      <c r="M1138">
        <v>1604</v>
      </c>
      <c r="O1138">
        <v>3</v>
      </c>
      <c r="P1138">
        <v>1</v>
      </c>
      <c r="Q1138" t="s">
        <v>26</v>
      </c>
      <c r="R1138">
        <v>2</v>
      </c>
      <c r="S1138">
        <v>2408</v>
      </c>
      <c r="T1138" t="s">
        <v>16</v>
      </c>
    </row>
    <row r="1139" spans="1:20" x14ac:dyDescent="0.25">
      <c r="A1139">
        <v>22</v>
      </c>
      <c r="B1139" t="str">
        <f t="shared" si="17"/>
        <v>18-24</v>
      </c>
      <c r="C1139" t="s">
        <v>21</v>
      </c>
      <c r="F1139" t="s">
        <v>30</v>
      </c>
      <c r="G1139">
        <v>457</v>
      </c>
      <c r="H1139" t="s">
        <v>23</v>
      </c>
      <c r="I1139">
        <v>26</v>
      </c>
      <c r="J1139">
        <v>2</v>
      </c>
      <c r="K1139" t="s">
        <v>25</v>
      </c>
      <c r="L1139">
        <v>1</v>
      </c>
      <c r="M1139">
        <v>1605</v>
      </c>
      <c r="O1139">
        <v>2</v>
      </c>
      <c r="P1139">
        <v>1</v>
      </c>
      <c r="Q1139" t="s">
        <v>24</v>
      </c>
      <c r="R1139">
        <v>3</v>
      </c>
      <c r="S1139">
        <v>2814</v>
      </c>
      <c r="T1139" t="s">
        <v>16</v>
      </c>
    </row>
    <row r="1140" spans="1:20" x14ac:dyDescent="0.25">
      <c r="A1140">
        <v>50</v>
      </c>
      <c r="B1140" t="str">
        <f t="shared" si="17"/>
        <v>45-54</v>
      </c>
      <c r="C1140" t="s">
        <v>21</v>
      </c>
      <c r="F1140" t="s">
        <v>22</v>
      </c>
      <c r="G1140">
        <v>1234</v>
      </c>
      <c r="H1140" t="s">
        <v>23</v>
      </c>
      <c r="I1140">
        <v>20</v>
      </c>
      <c r="J1140">
        <v>5</v>
      </c>
      <c r="K1140" t="s">
        <v>27</v>
      </c>
      <c r="L1140">
        <v>1</v>
      </c>
      <c r="M1140">
        <v>1606</v>
      </c>
      <c r="O1140">
        <v>2</v>
      </c>
      <c r="P1140">
        <v>4</v>
      </c>
      <c r="Q1140" t="s">
        <v>29</v>
      </c>
      <c r="R1140">
        <v>3</v>
      </c>
      <c r="S1140">
        <v>11245</v>
      </c>
      <c r="T1140" t="s">
        <v>16</v>
      </c>
    </row>
    <row r="1141" spans="1:20" x14ac:dyDescent="0.25">
      <c r="A1141">
        <v>32</v>
      </c>
      <c r="B1141" t="str">
        <f t="shared" si="17"/>
        <v>25-34</v>
      </c>
      <c r="C1141" t="s">
        <v>21</v>
      </c>
      <c r="F1141" t="s">
        <v>17</v>
      </c>
      <c r="G1141">
        <v>634</v>
      </c>
      <c r="H1141" t="s">
        <v>23</v>
      </c>
      <c r="I1141">
        <v>5</v>
      </c>
      <c r="J1141">
        <v>4</v>
      </c>
      <c r="K1141" t="s">
        <v>25</v>
      </c>
      <c r="L1141">
        <v>1</v>
      </c>
      <c r="M1141">
        <v>1607</v>
      </c>
      <c r="O1141">
        <v>2</v>
      </c>
      <c r="P1141">
        <v>1</v>
      </c>
      <c r="Q1141" t="s">
        <v>24</v>
      </c>
      <c r="R1141">
        <v>4</v>
      </c>
      <c r="S1141">
        <v>3312</v>
      </c>
      <c r="T1141" t="s">
        <v>21</v>
      </c>
    </row>
    <row r="1142" spans="1:20" x14ac:dyDescent="0.25">
      <c r="A1142">
        <v>44</v>
      </c>
      <c r="B1142" t="str">
        <f t="shared" si="17"/>
        <v>35-44</v>
      </c>
      <c r="C1142" t="s">
        <v>21</v>
      </c>
      <c r="F1142" t="s">
        <v>17</v>
      </c>
      <c r="G1142">
        <v>1313</v>
      </c>
      <c r="H1142" t="s">
        <v>23</v>
      </c>
      <c r="I1142">
        <v>7</v>
      </c>
      <c r="J1142">
        <v>3</v>
      </c>
      <c r="K1142" t="s">
        <v>27</v>
      </c>
      <c r="L1142">
        <v>1</v>
      </c>
      <c r="M1142">
        <v>1608</v>
      </c>
      <c r="O1142">
        <v>2</v>
      </c>
      <c r="P1142">
        <v>5</v>
      </c>
      <c r="Q1142" t="s">
        <v>33</v>
      </c>
      <c r="R1142">
        <v>4</v>
      </c>
      <c r="S1142">
        <v>19049</v>
      </c>
      <c r="T1142" t="s">
        <v>16</v>
      </c>
    </row>
    <row r="1143" spans="1:20" x14ac:dyDescent="0.25">
      <c r="A1143">
        <v>30</v>
      </c>
      <c r="B1143" t="str">
        <f t="shared" si="17"/>
        <v>25-34</v>
      </c>
      <c r="C1143" t="s">
        <v>21</v>
      </c>
      <c r="F1143" t="s">
        <v>17</v>
      </c>
      <c r="G1143">
        <v>241</v>
      </c>
      <c r="H1143" t="s">
        <v>23</v>
      </c>
      <c r="I1143">
        <v>7</v>
      </c>
      <c r="J1143">
        <v>3</v>
      </c>
      <c r="K1143" t="s">
        <v>27</v>
      </c>
      <c r="L1143">
        <v>1</v>
      </c>
      <c r="M1143">
        <v>1609</v>
      </c>
      <c r="O1143">
        <v>2</v>
      </c>
      <c r="P1143">
        <v>1</v>
      </c>
      <c r="Q1143" t="s">
        <v>24</v>
      </c>
      <c r="R1143">
        <v>2</v>
      </c>
      <c r="S1143">
        <v>2141</v>
      </c>
      <c r="T1143" t="s">
        <v>21</v>
      </c>
    </row>
    <row r="1144" spans="1:20" x14ac:dyDescent="0.25">
      <c r="A1144">
        <v>45</v>
      </c>
      <c r="B1144" t="str">
        <f t="shared" si="17"/>
        <v>45-54</v>
      </c>
      <c r="C1144" t="s">
        <v>21</v>
      </c>
      <c r="F1144" t="s">
        <v>17</v>
      </c>
      <c r="G1144">
        <v>1015</v>
      </c>
      <c r="H1144" t="s">
        <v>23</v>
      </c>
      <c r="I1144">
        <v>5</v>
      </c>
      <c r="J1144">
        <v>5</v>
      </c>
      <c r="K1144" t="s">
        <v>27</v>
      </c>
      <c r="L1144">
        <v>1</v>
      </c>
      <c r="M1144">
        <v>1611</v>
      </c>
      <c r="O1144">
        <v>3</v>
      </c>
      <c r="P1144">
        <v>2</v>
      </c>
      <c r="Q1144" t="s">
        <v>26</v>
      </c>
      <c r="R1144">
        <v>1</v>
      </c>
      <c r="S1144">
        <v>5769</v>
      </c>
      <c r="T1144" t="s">
        <v>16</v>
      </c>
    </row>
    <row r="1145" spans="1:20" x14ac:dyDescent="0.25">
      <c r="A1145">
        <v>45</v>
      </c>
      <c r="B1145" t="str">
        <f t="shared" si="17"/>
        <v>45-54</v>
      </c>
      <c r="C1145" t="s">
        <v>21</v>
      </c>
      <c r="F1145" t="s">
        <v>30</v>
      </c>
      <c r="G1145">
        <v>336</v>
      </c>
      <c r="H1145" t="s">
        <v>18</v>
      </c>
      <c r="I1145">
        <v>26</v>
      </c>
      <c r="J1145">
        <v>3</v>
      </c>
      <c r="K1145" t="s">
        <v>34</v>
      </c>
      <c r="L1145">
        <v>1</v>
      </c>
      <c r="M1145">
        <v>1612</v>
      </c>
      <c r="O1145">
        <v>1</v>
      </c>
      <c r="P1145">
        <v>2</v>
      </c>
      <c r="Q1145" t="s">
        <v>20</v>
      </c>
      <c r="R1145">
        <v>1</v>
      </c>
      <c r="S1145">
        <v>4385</v>
      </c>
      <c r="T1145" t="s">
        <v>21</v>
      </c>
    </row>
    <row r="1146" spans="1:20" x14ac:dyDescent="0.25">
      <c r="A1146">
        <v>31</v>
      </c>
      <c r="B1146" t="str">
        <f t="shared" si="17"/>
        <v>25-34</v>
      </c>
      <c r="C1146" t="s">
        <v>21</v>
      </c>
      <c r="F1146" t="s">
        <v>22</v>
      </c>
      <c r="G1146">
        <v>715</v>
      </c>
      <c r="H1146" t="s">
        <v>18</v>
      </c>
      <c r="I1146">
        <v>2</v>
      </c>
      <c r="J1146">
        <v>4</v>
      </c>
      <c r="K1146" t="s">
        <v>25</v>
      </c>
      <c r="L1146">
        <v>1</v>
      </c>
      <c r="M1146">
        <v>1613</v>
      </c>
      <c r="O1146">
        <v>4</v>
      </c>
      <c r="P1146">
        <v>2</v>
      </c>
      <c r="Q1146" t="s">
        <v>20</v>
      </c>
      <c r="R1146">
        <v>1</v>
      </c>
      <c r="S1146">
        <v>5332</v>
      </c>
      <c r="T1146" t="s">
        <v>21</v>
      </c>
    </row>
    <row r="1147" spans="1:20" x14ac:dyDescent="0.25">
      <c r="A1147">
        <v>36</v>
      </c>
      <c r="B1147" t="str">
        <f t="shared" si="17"/>
        <v>35-44</v>
      </c>
      <c r="C1147" t="s">
        <v>21</v>
      </c>
      <c r="F1147" t="s">
        <v>17</v>
      </c>
      <c r="G1147">
        <v>559</v>
      </c>
      <c r="H1147" t="s">
        <v>23</v>
      </c>
      <c r="I1147">
        <v>12</v>
      </c>
      <c r="J1147">
        <v>4</v>
      </c>
      <c r="K1147" t="s">
        <v>19</v>
      </c>
      <c r="L1147">
        <v>1</v>
      </c>
      <c r="M1147">
        <v>1614</v>
      </c>
      <c r="O1147">
        <v>3</v>
      </c>
      <c r="P1147">
        <v>2</v>
      </c>
      <c r="Q1147" t="s">
        <v>28</v>
      </c>
      <c r="R1147">
        <v>3</v>
      </c>
      <c r="S1147">
        <v>4663</v>
      </c>
      <c r="T1147" t="s">
        <v>16</v>
      </c>
    </row>
    <row r="1148" spans="1:20" x14ac:dyDescent="0.25">
      <c r="A1148">
        <v>34</v>
      </c>
      <c r="B1148" t="str">
        <f t="shared" si="17"/>
        <v>25-34</v>
      </c>
      <c r="C1148" t="s">
        <v>21</v>
      </c>
      <c r="F1148" t="s">
        <v>22</v>
      </c>
      <c r="G1148">
        <v>426</v>
      </c>
      <c r="H1148" t="s">
        <v>23</v>
      </c>
      <c r="I1148">
        <v>10</v>
      </c>
      <c r="J1148">
        <v>4</v>
      </c>
      <c r="K1148" t="s">
        <v>19</v>
      </c>
      <c r="L1148">
        <v>1</v>
      </c>
      <c r="M1148">
        <v>1615</v>
      </c>
      <c r="O1148">
        <v>3</v>
      </c>
      <c r="P1148">
        <v>2</v>
      </c>
      <c r="Q1148" t="s">
        <v>28</v>
      </c>
      <c r="R1148">
        <v>4</v>
      </c>
      <c r="S1148">
        <v>4724</v>
      </c>
      <c r="T1148" t="s">
        <v>21</v>
      </c>
    </row>
    <row r="1149" spans="1:20" x14ac:dyDescent="0.25">
      <c r="A1149">
        <v>49</v>
      </c>
      <c r="B1149" t="str">
        <f t="shared" si="17"/>
        <v>45-54</v>
      </c>
      <c r="C1149" t="s">
        <v>21</v>
      </c>
      <c r="F1149" t="s">
        <v>17</v>
      </c>
      <c r="G1149">
        <v>722</v>
      </c>
      <c r="H1149" t="s">
        <v>23</v>
      </c>
      <c r="I1149">
        <v>25</v>
      </c>
      <c r="J1149">
        <v>4</v>
      </c>
      <c r="K1149" t="s">
        <v>19</v>
      </c>
      <c r="L1149">
        <v>1</v>
      </c>
      <c r="M1149">
        <v>1617</v>
      </c>
      <c r="O1149">
        <v>3</v>
      </c>
      <c r="P1149">
        <v>1</v>
      </c>
      <c r="Q1149" t="s">
        <v>26</v>
      </c>
      <c r="R1149">
        <v>1</v>
      </c>
      <c r="S1149">
        <v>3211</v>
      </c>
      <c r="T1149" t="s">
        <v>21</v>
      </c>
    </row>
    <row r="1150" spans="1:20" x14ac:dyDescent="0.25">
      <c r="A1150">
        <v>39</v>
      </c>
      <c r="B1150" t="str">
        <f t="shared" si="17"/>
        <v>35-44</v>
      </c>
      <c r="C1150" t="s">
        <v>21</v>
      </c>
      <c r="F1150" t="s">
        <v>17</v>
      </c>
      <c r="G1150">
        <v>1387</v>
      </c>
      <c r="H1150" t="s">
        <v>23</v>
      </c>
      <c r="I1150">
        <v>10</v>
      </c>
      <c r="J1150">
        <v>5</v>
      </c>
      <c r="K1150" t="s">
        <v>27</v>
      </c>
      <c r="L1150">
        <v>1</v>
      </c>
      <c r="M1150">
        <v>1618</v>
      </c>
      <c r="O1150">
        <v>2</v>
      </c>
      <c r="P1150">
        <v>2</v>
      </c>
      <c r="Q1150" t="s">
        <v>28</v>
      </c>
      <c r="R1150">
        <v>1</v>
      </c>
      <c r="S1150">
        <v>5377</v>
      </c>
      <c r="T1150" t="s">
        <v>21</v>
      </c>
    </row>
    <row r="1151" spans="1:20" x14ac:dyDescent="0.25">
      <c r="A1151">
        <v>27</v>
      </c>
      <c r="B1151" t="str">
        <f t="shared" si="17"/>
        <v>25-34</v>
      </c>
      <c r="C1151" t="s">
        <v>21</v>
      </c>
      <c r="F1151" t="s">
        <v>17</v>
      </c>
      <c r="G1151">
        <v>1302</v>
      </c>
      <c r="H1151" t="s">
        <v>23</v>
      </c>
      <c r="I1151">
        <v>19</v>
      </c>
      <c r="J1151">
        <v>3</v>
      </c>
      <c r="K1151" t="s">
        <v>25</v>
      </c>
      <c r="L1151">
        <v>1</v>
      </c>
      <c r="M1151">
        <v>1619</v>
      </c>
      <c r="O1151">
        <v>4</v>
      </c>
      <c r="P1151">
        <v>1</v>
      </c>
      <c r="Q1151" t="s">
        <v>26</v>
      </c>
      <c r="R1151">
        <v>1</v>
      </c>
      <c r="S1151">
        <v>4066</v>
      </c>
      <c r="T1151" t="s">
        <v>21</v>
      </c>
    </row>
    <row r="1152" spans="1:20" x14ac:dyDescent="0.25">
      <c r="A1152">
        <v>35</v>
      </c>
      <c r="B1152" t="str">
        <f t="shared" si="17"/>
        <v>35-44</v>
      </c>
      <c r="C1152" t="s">
        <v>21</v>
      </c>
      <c r="F1152" t="s">
        <v>17</v>
      </c>
      <c r="G1152">
        <v>819</v>
      </c>
      <c r="H1152" t="s">
        <v>23</v>
      </c>
      <c r="I1152">
        <v>18</v>
      </c>
      <c r="J1152">
        <v>5</v>
      </c>
      <c r="K1152" t="s">
        <v>19</v>
      </c>
      <c r="L1152">
        <v>1</v>
      </c>
      <c r="M1152">
        <v>1621</v>
      </c>
      <c r="O1152">
        <v>2</v>
      </c>
      <c r="P1152">
        <v>2</v>
      </c>
      <c r="Q1152" t="s">
        <v>24</v>
      </c>
      <c r="R1152">
        <v>1</v>
      </c>
      <c r="S1152">
        <v>5208</v>
      </c>
      <c r="T1152" t="s">
        <v>21</v>
      </c>
    </row>
    <row r="1153" spans="1:20" x14ac:dyDescent="0.25">
      <c r="A1153">
        <v>28</v>
      </c>
      <c r="B1153" t="str">
        <f t="shared" si="17"/>
        <v>25-34</v>
      </c>
      <c r="C1153" t="s">
        <v>21</v>
      </c>
      <c r="F1153" t="s">
        <v>17</v>
      </c>
      <c r="G1153">
        <v>580</v>
      </c>
      <c r="H1153" t="s">
        <v>23</v>
      </c>
      <c r="I1153">
        <v>27</v>
      </c>
      <c r="J1153">
        <v>3</v>
      </c>
      <c r="K1153" t="s">
        <v>27</v>
      </c>
      <c r="L1153">
        <v>1</v>
      </c>
      <c r="M1153">
        <v>1622</v>
      </c>
      <c r="O1153">
        <v>2</v>
      </c>
      <c r="P1153">
        <v>2</v>
      </c>
      <c r="Q1153" t="s">
        <v>28</v>
      </c>
      <c r="R1153">
        <v>1</v>
      </c>
      <c r="S1153">
        <v>4877</v>
      </c>
      <c r="T1153" t="s">
        <v>21</v>
      </c>
    </row>
    <row r="1154" spans="1:20" x14ac:dyDescent="0.25">
      <c r="A1154">
        <v>21</v>
      </c>
      <c r="B1154" t="str">
        <f t="shared" si="17"/>
        <v>18-24</v>
      </c>
      <c r="C1154" t="s">
        <v>21</v>
      </c>
      <c r="F1154" t="s">
        <v>17</v>
      </c>
      <c r="G1154">
        <v>546</v>
      </c>
      <c r="H1154" t="s">
        <v>23</v>
      </c>
      <c r="I1154">
        <v>5</v>
      </c>
      <c r="J1154">
        <v>1</v>
      </c>
      <c r="K1154" t="s">
        <v>27</v>
      </c>
      <c r="L1154">
        <v>1</v>
      </c>
      <c r="M1154">
        <v>1623</v>
      </c>
      <c r="O1154">
        <v>3</v>
      </c>
      <c r="P1154">
        <v>1</v>
      </c>
      <c r="Q1154" t="s">
        <v>24</v>
      </c>
      <c r="R1154">
        <v>4</v>
      </c>
      <c r="S1154">
        <v>3117</v>
      </c>
      <c r="T1154" t="s">
        <v>21</v>
      </c>
    </row>
    <row r="1155" spans="1:20" x14ac:dyDescent="0.25">
      <c r="A1155">
        <v>18</v>
      </c>
      <c r="B1155" t="str">
        <f t="shared" ref="B1155:B1218" si="18">IF(A1155&lt;=24,"18-24",IF(A1155&lt;=34,"25-34",IF(A1155&lt;=44,"35-44",IF(A1155&lt;=54,"45-54","55+"))))</f>
        <v>18-24</v>
      </c>
      <c r="C1155" t="s">
        <v>16</v>
      </c>
      <c r="F1155" t="s">
        <v>22</v>
      </c>
      <c r="G1155">
        <v>544</v>
      </c>
      <c r="H1155" t="s">
        <v>18</v>
      </c>
      <c r="I1155">
        <v>3</v>
      </c>
      <c r="J1155">
        <v>2</v>
      </c>
      <c r="K1155" t="s">
        <v>27</v>
      </c>
      <c r="L1155">
        <v>1</v>
      </c>
      <c r="M1155">
        <v>1624</v>
      </c>
      <c r="O1155">
        <v>2</v>
      </c>
      <c r="P1155">
        <v>1</v>
      </c>
      <c r="Q1155" t="s">
        <v>32</v>
      </c>
      <c r="R1155">
        <v>4</v>
      </c>
      <c r="S1155">
        <v>1569</v>
      </c>
      <c r="T1155" t="s">
        <v>16</v>
      </c>
    </row>
    <row r="1156" spans="1:20" x14ac:dyDescent="0.25">
      <c r="A1156">
        <v>47</v>
      </c>
      <c r="B1156" t="str">
        <f t="shared" si="18"/>
        <v>45-54</v>
      </c>
      <c r="C1156" t="s">
        <v>21</v>
      </c>
      <c r="F1156" t="s">
        <v>17</v>
      </c>
      <c r="G1156">
        <v>1176</v>
      </c>
      <c r="H1156" t="s">
        <v>36</v>
      </c>
      <c r="I1156">
        <v>26</v>
      </c>
      <c r="J1156">
        <v>4</v>
      </c>
      <c r="K1156" t="s">
        <v>19</v>
      </c>
      <c r="L1156">
        <v>1</v>
      </c>
      <c r="M1156">
        <v>1625</v>
      </c>
      <c r="O1156">
        <v>4</v>
      </c>
      <c r="P1156">
        <v>5</v>
      </c>
      <c r="Q1156" t="s">
        <v>31</v>
      </c>
      <c r="R1156">
        <v>3</v>
      </c>
      <c r="S1156">
        <v>19658</v>
      </c>
      <c r="T1156" t="s">
        <v>21</v>
      </c>
    </row>
    <row r="1157" spans="1:20" x14ac:dyDescent="0.25">
      <c r="A1157">
        <v>39</v>
      </c>
      <c r="B1157" t="str">
        <f t="shared" si="18"/>
        <v>35-44</v>
      </c>
      <c r="C1157" t="s">
        <v>21</v>
      </c>
      <c r="F1157" t="s">
        <v>17</v>
      </c>
      <c r="G1157">
        <v>170</v>
      </c>
      <c r="H1157" t="s">
        <v>23</v>
      </c>
      <c r="I1157">
        <v>3</v>
      </c>
      <c r="J1157">
        <v>2</v>
      </c>
      <c r="K1157" t="s">
        <v>27</v>
      </c>
      <c r="L1157">
        <v>1</v>
      </c>
      <c r="M1157">
        <v>1627</v>
      </c>
      <c r="O1157">
        <v>3</v>
      </c>
      <c r="P1157">
        <v>2</v>
      </c>
      <c r="Q1157" t="s">
        <v>26</v>
      </c>
      <c r="R1157">
        <v>3</v>
      </c>
      <c r="S1157">
        <v>3069</v>
      </c>
      <c r="T1157" t="s">
        <v>21</v>
      </c>
    </row>
    <row r="1158" spans="1:20" x14ac:dyDescent="0.25">
      <c r="A1158">
        <v>40</v>
      </c>
      <c r="B1158" t="str">
        <f t="shared" si="18"/>
        <v>35-44</v>
      </c>
      <c r="C1158" t="s">
        <v>21</v>
      </c>
      <c r="F1158" t="s">
        <v>17</v>
      </c>
      <c r="G1158">
        <v>884</v>
      </c>
      <c r="H1158" t="s">
        <v>23</v>
      </c>
      <c r="I1158">
        <v>15</v>
      </c>
      <c r="J1158">
        <v>3</v>
      </c>
      <c r="K1158" t="s">
        <v>19</v>
      </c>
      <c r="L1158">
        <v>1</v>
      </c>
      <c r="M1158">
        <v>1628</v>
      </c>
      <c r="O1158">
        <v>1</v>
      </c>
      <c r="P1158">
        <v>3</v>
      </c>
      <c r="Q1158" t="s">
        <v>28</v>
      </c>
      <c r="R1158">
        <v>3</v>
      </c>
      <c r="S1158">
        <v>10435</v>
      </c>
      <c r="T1158" t="s">
        <v>21</v>
      </c>
    </row>
    <row r="1159" spans="1:20" x14ac:dyDescent="0.25">
      <c r="A1159">
        <v>35</v>
      </c>
      <c r="B1159" t="str">
        <f t="shared" si="18"/>
        <v>35-44</v>
      </c>
      <c r="C1159" t="s">
        <v>21</v>
      </c>
      <c r="F1159" t="s">
        <v>30</v>
      </c>
      <c r="G1159">
        <v>208</v>
      </c>
      <c r="H1159" t="s">
        <v>23</v>
      </c>
      <c r="I1159">
        <v>8</v>
      </c>
      <c r="J1159">
        <v>4</v>
      </c>
      <c r="K1159" t="s">
        <v>19</v>
      </c>
      <c r="L1159">
        <v>1</v>
      </c>
      <c r="M1159">
        <v>1630</v>
      </c>
      <c r="O1159">
        <v>3</v>
      </c>
      <c r="P1159">
        <v>2</v>
      </c>
      <c r="Q1159" t="s">
        <v>29</v>
      </c>
      <c r="R1159">
        <v>3</v>
      </c>
      <c r="S1159">
        <v>4148</v>
      </c>
      <c r="T1159" t="s">
        <v>21</v>
      </c>
    </row>
    <row r="1160" spans="1:20" x14ac:dyDescent="0.25">
      <c r="A1160">
        <v>37</v>
      </c>
      <c r="B1160" t="str">
        <f t="shared" si="18"/>
        <v>35-44</v>
      </c>
      <c r="C1160" t="s">
        <v>21</v>
      </c>
      <c r="F1160" t="s">
        <v>17</v>
      </c>
      <c r="G1160">
        <v>671</v>
      </c>
      <c r="H1160" t="s">
        <v>23</v>
      </c>
      <c r="I1160">
        <v>19</v>
      </c>
      <c r="J1160">
        <v>3</v>
      </c>
      <c r="K1160" t="s">
        <v>19</v>
      </c>
      <c r="L1160">
        <v>1</v>
      </c>
      <c r="M1160">
        <v>1631</v>
      </c>
      <c r="O1160">
        <v>3</v>
      </c>
      <c r="P1160">
        <v>2</v>
      </c>
      <c r="Q1160" t="s">
        <v>28</v>
      </c>
      <c r="R1160">
        <v>3</v>
      </c>
      <c r="S1160">
        <v>5768</v>
      </c>
      <c r="T1160" t="s">
        <v>21</v>
      </c>
    </row>
    <row r="1161" spans="1:20" x14ac:dyDescent="0.25">
      <c r="A1161">
        <v>39</v>
      </c>
      <c r="B1161" t="str">
        <f t="shared" si="18"/>
        <v>35-44</v>
      </c>
      <c r="C1161" t="s">
        <v>21</v>
      </c>
      <c r="F1161" t="s">
        <v>22</v>
      </c>
      <c r="G1161">
        <v>711</v>
      </c>
      <c r="H1161" t="s">
        <v>23</v>
      </c>
      <c r="I1161">
        <v>4</v>
      </c>
      <c r="J1161">
        <v>3</v>
      </c>
      <c r="K1161" t="s">
        <v>27</v>
      </c>
      <c r="L1161">
        <v>1</v>
      </c>
      <c r="M1161">
        <v>1633</v>
      </c>
      <c r="O1161">
        <v>1</v>
      </c>
      <c r="P1161">
        <v>2</v>
      </c>
      <c r="Q1161" t="s">
        <v>28</v>
      </c>
      <c r="R1161">
        <v>3</v>
      </c>
      <c r="S1161">
        <v>5042</v>
      </c>
      <c r="T1161" t="s">
        <v>21</v>
      </c>
    </row>
    <row r="1162" spans="1:20" x14ac:dyDescent="0.25">
      <c r="A1162">
        <v>45</v>
      </c>
      <c r="B1162" t="str">
        <f t="shared" si="18"/>
        <v>45-54</v>
      </c>
      <c r="C1162" t="s">
        <v>21</v>
      </c>
      <c r="F1162" t="s">
        <v>17</v>
      </c>
      <c r="G1162">
        <v>1329</v>
      </c>
      <c r="H1162" t="s">
        <v>23</v>
      </c>
      <c r="I1162">
        <v>2</v>
      </c>
      <c r="J1162">
        <v>2</v>
      </c>
      <c r="K1162" t="s">
        <v>25</v>
      </c>
      <c r="L1162">
        <v>1</v>
      </c>
      <c r="M1162">
        <v>1635</v>
      </c>
      <c r="O1162">
        <v>4</v>
      </c>
      <c r="P1162">
        <v>2</v>
      </c>
      <c r="Q1162" t="s">
        <v>28</v>
      </c>
      <c r="R1162">
        <v>4</v>
      </c>
      <c r="S1162">
        <v>5770</v>
      </c>
      <c r="T1162" t="s">
        <v>21</v>
      </c>
    </row>
    <row r="1163" spans="1:20" x14ac:dyDescent="0.25">
      <c r="A1163">
        <v>38</v>
      </c>
      <c r="B1163" t="str">
        <f t="shared" si="18"/>
        <v>35-44</v>
      </c>
      <c r="C1163" t="s">
        <v>21</v>
      </c>
      <c r="F1163" t="s">
        <v>17</v>
      </c>
      <c r="G1163">
        <v>397</v>
      </c>
      <c r="H1163" t="s">
        <v>23</v>
      </c>
      <c r="I1163">
        <v>2</v>
      </c>
      <c r="J1163">
        <v>2</v>
      </c>
      <c r="K1163" t="s">
        <v>27</v>
      </c>
      <c r="L1163">
        <v>1</v>
      </c>
      <c r="M1163">
        <v>1638</v>
      </c>
      <c r="O1163">
        <v>4</v>
      </c>
      <c r="P1163">
        <v>3</v>
      </c>
      <c r="Q1163" t="s">
        <v>28</v>
      </c>
      <c r="R1163">
        <v>3</v>
      </c>
      <c r="S1163">
        <v>7756</v>
      </c>
      <c r="T1163" t="s">
        <v>16</v>
      </c>
    </row>
    <row r="1164" spans="1:20" x14ac:dyDescent="0.25">
      <c r="A1164">
        <v>35</v>
      </c>
      <c r="B1164" t="str">
        <f t="shared" si="18"/>
        <v>35-44</v>
      </c>
      <c r="C1164" t="s">
        <v>16</v>
      </c>
      <c r="F1164" t="s">
        <v>17</v>
      </c>
      <c r="G1164">
        <v>737</v>
      </c>
      <c r="H1164" t="s">
        <v>18</v>
      </c>
      <c r="I1164">
        <v>10</v>
      </c>
      <c r="J1164">
        <v>3</v>
      </c>
      <c r="K1164" t="s">
        <v>27</v>
      </c>
      <c r="L1164">
        <v>1</v>
      </c>
      <c r="M1164">
        <v>1639</v>
      </c>
      <c r="O1164">
        <v>4</v>
      </c>
      <c r="P1164">
        <v>3</v>
      </c>
      <c r="Q1164" t="s">
        <v>20</v>
      </c>
      <c r="R1164">
        <v>1</v>
      </c>
      <c r="S1164">
        <v>10306</v>
      </c>
      <c r="T1164" t="s">
        <v>21</v>
      </c>
    </row>
    <row r="1165" spans="1:20" x14ac:dyDescent="0.25">
      <c r="A1165">
        <v>37</v>
      </c>
      <c r="B1165" t="str">
        <f t="shared" si="18"/>
        <v>35-44</v>
      </c>
      <c r="C1165" t="s">
        <v>21</v>
      </c>
      <c r="F1165" t="s">
        <v>17</v>
      </c>
      <c r="G1165">
        <v>1470</v>
      </c>
      <c r="H1165" t="s">
        <v>23</v>
      </c>
      <c r="I1165">
        <v>10</v>
      </c>
      <c r="J1165">
        <v>3</v>
      </c>
      <c r="K1165" t="s">
        <v>27</v>
      </c>
      <c r="L1165">
        <v>1</v>
      </c>
      <c r="M1165">
        <v>1640</v>
      </c>
      <c r="O1165">
        <v>2</v>
      </c>
      <c r="P1165">
        <v>1</v>
      </c>
      <c r="Q1165" t="s">
        <v>24</v>
      </c>
      <c r="R1165">
        <v>2</v>
      </c>
      <c r="S1165">
        <v>3936</v>
      </c>
      <c r="T1165" t="s">
        <v>21</v>
      </c>
    </row>
    <row r="1166" spans="1:20" x14ac:dyDescent="0.25">
      <c r="A1166">
        <v>40</v>
      </c>
      <c r="B1166" t="str">
        <f t="shared" si="18"/>
        <v>35-44</v>
      </c>
      <c r="C1166" t="s">
        <v>21</v>
      </c>
      <c r="F1166" t="s">
        <v>17</v>
      </c>
      <c r="G1166">
        <v>448</v>
      </c>
      <c r="H1166" t="s">
        <v>23</v>
      </c>
      <c r="I1166">
        <v>16</v>
      </c>
      <c r="J1166">
        <v>3</v>
      </c>
      <c r="K1166" t="s">
        <v>19</v>
      </c>
      <c r="L1166">
        <v>1</v>
      </c>
      <c r="M1166">
        <v>1641</v>
      </c>
      <c r="O1166">
        <v>3</v>
      </c>
      <c r="P1166">
        <v>3</v>
      </c>
      <c r="Q1166" t="s">
        <v>28</v>
      </c>
      <c r="R1166">
        <v>4</v>
      </c>
      <c r="S1166">
        <v>7945</v>
      </c>
      <c r="T1166" t="s">
        <v>16</v>
      </c>
    </row>
    <row r="1167" spans="1:20" x14ac:dyDescent="0.25">
      <c r="A1167">
        <v>44</v>
      </c>
      <c r="B1167" t="str">
        <f t="shared" si="18"/>
        <v>35-44</v>
      </c>
      <c r="C1167" t="s">
        <v>21</v>
      </c>
      <c r="F1167" t="s">
        <v>22</v>
      </c>
      <c r="G1167">
        <v>602</v>
      </c>
      <c r="H1167" t="s">
        <v>36</v>
      </c>
      <c r="I1167">
        <v>1</v>
      </c>
      <c r="J1167">
        <v>5</v>
      </c>
      <c r="K1167" t="s">
        <v>36</v>
      </c>
      <c r="L1167">
        <v>1</v>
      </c>
      <c r="M1167">
        <v>1642</v>
      </c>
      <c r="O1167">
        <v>1</v>
      </c>
      <c r="P1167">
        <v>2</v>
      </c>
      <c r="Q1167" t="s">
        <v>36</v>
      </c>
      <c r="R1167">
        <v>4</v>
      </c>
      <c r="S1167">
        <v>5743</v>
      </c>
      <c r="T1167" t="s">
        <v>16</v>
      </c>
    </row>
    <row r="1168" spans="1:20" x14ac:dyDescent="0.25">
      <c r="A1168">
        <v>48</v>
      </c>
      <c r="B1168" t="str">
        <f t="shared" si="18"/>
        <v>45-54</v>
      </c>
      <c r="C1168" t="s">
        <v>21</v>
      </c>
      <c r="F1168" t="s">
        <v>22</v>
      </c>
      <c r="G1168">
        <v>365</v>
      </c>
      <c r="H1168" t="s">
        <v>23</v>
      </c>
      <c r="I1168">
        <v>4</v>
      </c>
      <c r="J1168">
        <v>5</v>
      </c>
      <c r="K1168" t="s">
        <v>27</v>
      </c>
      <c r="L1168">
        <v>1</v>
      </c>
      <c r="M1168">
        <v>1644</v>
      </c>
      <c r="O1168">
        <v>3</v>
      </c>
      <c r="P1168">
        <v>4</v>
      </c>
      <c r="Q1168" t="s">
        <v>31</v>
      </c>
      <c r="R1168">
        <v>4</v>
      </c>
      <c r="S1168">
        <v>15202</v>
      </c>
      <c r="T1168" t="s">
        <v>21</v>
      </c>
    </row>
    <row r="1169" spans="1:20" x14ac:dyDescent="0.25">
      <c r="A1169">
        <v>35</v>
      </c>
      <c r="B1169" t="str">
        <f t="shared" si="18"/>
        <v>35-44</v>
      </c>
      <c r="C1169" t="s">
        <v>16</v>
      </c>
      <c r="F1169" t="s">
        <v>17</v>
      </c>
      <c r="G1169">
        <v>763</v>
      </c>
      <c r="H1169" t="s">
        <v>18</v>
      </c>
      <c r="I1169">
        <v>15</v>
      </c>
      <c r="J1169">
        <v>2</v>
      </c>
      <c r="K1169" t="s">
        <v>27</v>
      </c>
      <c r="L1169">
        <v>1</v>
      </c>
      <c r="M1169">
        <v>1645</v>
      </c>
      <c r="O1169">
        <v>1</v>
      </c>
      <c r="P1169">
        <v>2</v>
      </c>
      <c r="Q1169" t="s">
        <v>20</v>
      </c>
      <c r="R1169">
        <v>4</v>
      </c>
      <c r="S1169">
        <v>5440</v>
      </c>
      <c r="T1169" t="s">
        <v>16</v>
      </c>
    </row>
    <row r="1170" spans="1:20" x14ac:dyDescent="0.25">
      <c r="A1170">
        <v>24</v>
      </c>
      <c r="B1170" t="str">
        <f t="shared" si="18"/>
        <v>18-24</v>
      </c>
      <c r="C1170" t="s">
        <v>21</v>
      </c>
      <c r="F1170" t="s">
        <v>22</v>
      </c>
      <c r="G1170">
        <v>567</v>
      </c>
      <c r="H1170" t="s">
        <v>23</v>
      </c>
      <c r="I1170">
        <v>2</v>
      </c>
      <c r="J1170">
        <v>1</v>
      </c>
      <c r="K1170" t="s">
        <v>35</v>
      </c>
      <c r="L1170">
        <v>1</v>
      </c>
      <c r="M1170">
        <v>1646</v>
      </c>
      <c r="O1170">
        <v>1</v>
      </c>
      <c r="P1170">
        <v>1</v>
      </c>
      <c r="Q1170" t="s">
        <v>24</v>
      </c>
      <c r="R1170">
        <v>4</v>
      </c>
      <c r="S1170">
        <v>3760</v>
      </c>
      <c r="T1170" t="s">
        <v>16</v>
      </c>
    </row>
    <row r="1171" spans="1:20" x14ac:dyDescent="0.25">
      <c r="A1171">
        <v>27</v>
      </c>
      <c r="B1171" t="str">
        <f t="shared" si="18"/>
        <v>25-34</v>
      </c>
      <c r="C1171" t="s">
        <v>21</v>
      </c>
      <c r="F1171" t="s">
        <v>17</v>
      </c>
      <c r="G1171">
        <v>486</v>
      </c>
      <c r="H1171" t="s">
        <v>23</v>
      </c>
      <c r="I1171">
        <v>8</v>
      </c>
      <c r="J1171">
        <v>3</v>
      </c>
      <c r="K1171" t="s">
        <v>27</v>
      </c>
      <c r="L1171">
        <v>1</v>
      </c>
      <c r="M1171">
        <v>1647</v>
      </c>
      <c r="O1171">
        <v>2</v>
      </c>
      <c r="P1171">
        <v>1</v>
      </c>
      <c r="Q1171" t="s">
        <v>24</v>
      </c>
      <c r="R1171">
        <v>3</v>
      </c>
      <c r="S1171">
        <v>3517</v>
      </c>
      <c r="T1171" t="s">
        <v>21</v>
      </c>
    </row>
    <row r="1172" spans="1:20" x14ac:dyDescent="0.25">
      <c r="A1172">
        <v>27</v>
      </c>
      <c r="B1172" t="str">
        <f t="shared" si="18"/>
        <v>25-34</v>
      </c>
      <c r="C1172" t="s">
        <v>21</v>
      </c>
      <c r="F1172" t="s">
        <v>22</v>
      </c>
      <c r="G1172">
        <v>591</v>
      </c>
      <c r="H1172" t="s">
        <v>23</v>
      </c>
      <c r="I1172">
        <v>2</v>
      </c>
      <c r="J1172">
        <v>3</v>
      </c>
      <c r="K1172" t="s">
        <v>27</v>
      </c>
      <c r="L1172">
        <v>1</v>
      </c>
      <c r="M1172">
        <v>1648</v>
      </c>
      <c r="O1172">
        <v>4</v>
      </c>
      <c r="P1172">
        <v>1</v>
      </c>
      <c r="Q1172" t="s">
        <v>24</v>
      </c>
      <c r="R1172">
        <v>4</v>
      </c>
      <c r="S1172">
        <v>2580</v>
      </c>
      <c r="T1172" t="s">
        <v>21</v>
      </c>
    </row>
    <row r="1173" spans="1:20" x14ac:dyDescent="0.25">
      <c r="A1173">
        <v>40</v>
      </c>
      <c r="B1173" t="str">
        <f t="shared" si="18"/>
        <v>35-44</v>
      </c>
      <c r="C1173" t="s">
        <v>16</v>
      </c>
      <c r="F1173" t="s">
        <v>17</v>
      </c>
      <c r="G1173">
        <v>1329</v>
      </c>
      <c r="H1173" t="s">
        <v>23</v>
      </c>
      <c r="I1173">
        <v>7</v>
      </c>
      <c r="J1173">
        <v>3</v>
      </c>
      <c r="K1173" t="s">
        <v>19</v>
      </c>
      <c r="L1173">
        <v>1</v>
      </c>
      <c r="M1173">
        <v>1649</v>
      </c>
      <c r="O1173">
        <v>1</v>
      </c>
      <c r="P1173">
        <v>1</v>
      </c>
      <c r="Q1173" t="s">
        <v>26</v>
      </c>
      <c r="R1173">
        <v>1</v>
      </c>
      <c r="S1173">
        <v>2166</v>
      </c>
      <c r="T1173" t="s">
        <v>16</v>
      </c>
    </row>
    <row r="1174" spans="1:20" x14ac:dyDescent="0.25">
      <c r="A1174">
        <v>29</v>
      </c>
      <c r="B1174" t="str">
        <f t="shared" si="18"/>
        <v>25-34</v>
      </c>
      <c r="C1174" t="s">
        <v>21</v>
      </c>
      <c r="F1174" t="s">
        <v>17</v>
      </c>
      <c r="G1174">
        <v>469</v>
      </c>
      <c r="H1174" t="s">
        <v>18</v>
      </c>
      <c r="I1174">
        <v>10</v>
      </c>
      <c r="J1174">
        <v>3</v>
      </c>
      <c r="K1174" t="s">
        <v>27</v>
      </c>
      <c r="L1174">
        <v>1</v>
      </c>
      <c r="M1174">
        <v>1650</v>
      </c>
      <c r="O1174">
        <v>3</v>
      </c>
      <c r="P1174">
        <v>2</v>
      </c>
      <c r="Q1174" t="s">
        <v>20</v>
      </c>
      <c r="R1174">
        <v>3</v>
      </c>
      <c r="S1174">
        <v>5869</v>
      </c>
      <c r="T1174" t="s">
        <v>21</v>
      </c>
    </row>
    <row r="1175" spans="1:20" x14ac:dyDescent="0.25">
      <c r="A1175">
        <v>36</v>
      </c>
      <c r="B1175" t="str">
        <f t="shared" si="18"/>
        <v>35-44</v>
      </c>
      <c r="C1175" t="s">
        <v>21</v>
      </c>
      <c r="F1175" t="s">
        <v>17</v>
      </c>
      <c r="G1175">
        <v>711</v>
      </c>
      <c r="H1175" t="s">
        <v>23</v>
      </c>
      <c r="I1175">
        <v>5</v>
      </c>
      <c r="J1175">
        <v>4</v>
      </c>
      <c r="K1175" t="s">
        <v>19</v>
      </c>
      <c r="L1175">
        <v>1</v>
      </c>
      <c r="M1175">
        <v>1651</v>
      </c>
      <c r="O1175">
        <v>2</v>
      </c>
      <c r="P1175">
        <v>3</v>
      </c>
      <c r="Q1175" t="s">
        <v>29</v>
      </c>
      <c r="R1175">
        <v>1</v>
      </c>
      <c r="S1175">
        <v>8008</v>
      </c>
      <c r="T1175" t="s">
        <v>21</v>
      </c>
    </row>
    <row r="1176" spans="1:20" x14ac:dyDescent="0.25">
      <c r="A1176">
        <v>25</v>
      </c>
      <c r="B1176" t="str">
        <f t="shared" si="18"/>
        <v>25-34</v>
      </c>
      <c r="C1176" t="s">
        <v>21</v>
      </c>
      <c r="F1176" t="s">
        <v>22</v>
      </c>
      <c r="G1176">
        <v>772</v>
      </c>
      <c r="H1176" t="s">
        <v>23</v>
      </c>
      <c r="I1176">
        <v>2</v>
      </c>
      <c r="J1176">
        <v>1</v>
      </c>
      <c r="K1176" t="s">
        <v>19</v>
      </c>
      <c r="L1176">
        <v>1</v>
      </c>
      <c r="M1176">
        <v>1653</v>
      </c>
      <c r="O1176">
        <v>4</v>
      </c>
      <c r="P1176">
        <v>2</v>
      </c>
      <c r="Q1176" t="s">
        <v>28</v>
      </c>
      <c r="R1176">
        <v>3</v>
      </c>
      <c r="S1176">
        <v>5206</v>
      </c>
      <c r="T1176" t="s">
        <v>21</v>
      </c>
    </row>
    <row r="1177" spans="1:20" x14ac:dyDescent="0.25">
      <c r="A1177">
        <v>39</v>
      </c>
      <c r="B1177" t="str">
        <f t="shared" si="18"/>
        <v>35-44</v>
      </c>
      <c r="C1177" t="s">
        <v>21</v>
      </c>
      <c r="F1177" t="s">
        <v>17</v>
      </c>
      <c r="G1177">
        <v>492</v>
      </c>
      <c r="H1177" t="s">
        <v>23</v>
      </c>
      <c r="I1177">
        <v>12</v>
      </c>
      <c r="J1177">
        <v>3</v>
      </c>
      <c r="K1177" t="s">
        <v>27</v>
      </c>
      <c r="L1177">
        <v>1</v>
      </c>
      <c r="M1177">
        <v>1654</v>
      </c>
      <c r="O1177">
        <v>4</v>
      </c>
      <c r="P1177">
        <v>2</v>
      </c>
      <c r="Q1177" t="s">
        <v>28</v>
      </c>
      <c r="R1177">
        <v>2</v>
      </c>
      <c r="S1177">
        <v>5295</v>
      </c>
      <c r="T1177" t="s">
        <v>21</v>
      </c>
    </row>
    <row r="1178" spans="1:20" x14ac:dyDescent="0.25">
      <c r="A1178">
        <v>49</v>
      </c>
      <c r="B1178" t="str">
        <f t="shared" si="18"/>
        <v>45-54</v>
      </c>
      <c r="C1178" t="s">
        <v>21</v>
      </c>
      <c r="F1178" t="s">
        <v>17</v>
      </c>
      <c r="G1178">
        <v>301</v>
      </c>
      <c r="H1178" t="s">
        <v>23</v>
      </c>
      <c r="I1178">
        <v>22</v>
      </c>
      <c r="J1178">
        <v>4</v>
      </c>
      <c r="K1178" t="s">
        <v>25</v>
      </c>
      <c r="L1178">
        <v>1</v>
      </c>
      <c r="M1178">
        <v>1655</v>
      </c>
      <c r="O1178">
        <v>1</v>
      </c>
      <c r="P1178">
        <v>4</v>
      </c>
      <c r="Q1178" t="s">
        <v>33</v>
      </c>
      <c r="R1178">
        <v>2</v>
      </c>
      <c r="S1178">
        <v>16413</v>
      </c>
      <c r="T1178" t="s">
        <v>21</v>
      </c>
    </row>
    <row r="1179" spans="1:20" x14ac:dyDescent="0.25">
      <c r="A1179">
        <v>50</v>
      </c>
      <c r="B1179" t="str">
        <f t="shared" si="18"/>
        <v>45-54</v>
      </c>
      <c r="C1179" t="s">
        <v>21</v>
      </c>
      <c r="F1179" t="s">
        <v>17</v>
      </c>
      <c r="G1179">
        <v>813</v>
      </c>
      <c r="H1179" t="s">
        <v>23</v>
      </c>
      <c r="I1179">
        <v>17</v>
      </c>
      <c r="J1179">
        <v>5</v>
      </c>
      <c r="K1179" t="s">
        <v>19</v>
      </c>
      <c r="L1179">
        <v>1</v>
      </c>
      <c r="M1179">
        <v>1656</v>
      </c>
      <c r="O1179">
        <v>4</v>
      </c>
      <c r="P1179">
        <v>3</v>
      </c>
      <c r="Q1179" t="s">
        <v>33</v>
      </c>
      <c r="R1179">
        <v>1</v>
      </c>
      <c r="S1179">
        <v>13269</v>
      </c>
      <c r="T1179" t="s">
        <v>21</v>
      </c>
    </row>
    <row r="1180" spans="1:20" x14ac:dyDescent="0.25">
      <c r="A1180">
        <v>20</v>
      </c>
      <c r="B1180" t="str">
        <f t="shared" si="18"/>
        <v>18-24</v>
      </c>
      <c r="C1180" t="s">
        <v>21</v>
      </c>
      <c r="F1180" t="s">
        <v>17</v>
      </c>
      <c r="G1180">
        <v>1141</v>
      </c>
      <c r="H1180" t="s">
        <v>18</v>
      </c>
      <c r="I1180">
        <v>2</v>
      </c>
      <c r="J1180">
        <v>3</v>
      </c>
      <c r="K1180" t="s">
        <v>27</v>
      </c>
      <c r="L1180">
        <v>1</v>
      </c>
      <c r="M1180">
        <v>1657</v>
      </c>
      <c r="O1180">
        <v>3</v>
      </c>
      <c r="P1180">
        <v>1</v>
      </c>
      <c r="Q1180" t="s">
        <v>32</v>
      </c>
      <c r="R1180">
        <v>3</v>
      </c>
      <c r="S1180">
        <v>2783</v>
      </c>
      <c r="T1180" t="s">
        <v>21</v>
      </c>
    </row>
    <row r="1181" spans="1:20" x14ac:dyDescent="0.25">
      <c r="A1181">
        <v>34</v>
      </c>
      <c r="B1181" t="str">
        <f t="shared" si="18"/>
        <v>25-34</v>
      </c>
      <c r="C1181" t="s">
        <v>21</v>
      </c>
      <c r="F1181" t="s">
        <v>17</v>
      </c>
      <c r="G1181">
        <v>1130</v>
      </c>
      <c r="H1181" t="s">
        <v>23</v>
      </c>
      <c r="I1181">
        <v>3</v>
      </c>
      <c r="J1181">
        <v>3</v>
      </c>
      <c r="K1181" t="s">
        <v>19</v>
      </c>
      <c r="L1181">
        <v>1</v>
      </c>
      <c r="M1181">
        <v>1658</v>
      </c>
      <c r="O1181">
        <v>4</v>
      </c>
      <c r="P1181">
        <v>2</v>
      </c>
      <c r="Q1181" t="s">
        <v>24</v>
      </c>
      <c r="R1181">
        <v>2</v>
      </c>
      <c r="S1181">
        <v>5433</v>
      </c>
      <c r="T1181" t="s">
        <v>21</v>
      </c>
    </row>
    <row r="1182" spans="1:20" x14ac:dyDescent="0.25">
      <c r="A1182">
        <v>36</v>
      </c>
      <c r="B1182" t="str">
        <f t="shared" si="18"/>
        <v>35-44</v>
      </c>
      <c r="C1182" t="s">
        <v>21</v>
      </c>
      <c r="F1182" t="s">
        <v>17</v>
      </c>
      <c r="G1182">
        <v>311</v>
      </c>
      <c r="H1182" t="s">
        <v>23</v>
      </c>
      <c r="I1182">
        <v>7</v>
      </c>
      <c r="J1182">
        <v>3</v>
      </c>
      <c r="K1182" t="s">
        <v>19</v>
      </c>
      <c r="L1182">
        <v>1</v>
      </c>
      <c r="M1182">
        <v>1659</v>
      </c>
      <c r="O1182">
        <v>1</v>
      </c>
      <c r="P1182">
        <v>1</v>
      </c>
      <c r="Q1182" t="s">
        <v>26</v>
      </c>
      <c r="R1182">
        <v>2</v>
      </c>
      <c r="S1182">
        <v>2013</v>
      </c>
      <c r="T1182" t="s">
        <v>21</v>
      </c>
    </row>
    <row r="1183" spans="1:20" x14ac:dyDescent="0.25">
      <c r="A1183">
        <v>49</v>
      </c>
      <c r="B1183" t="str">
        <f t="shared" si="18"/>
        <v>45-54</v>
      </c>
      <c r="C1183" t="s">
        <v>21</v>
      </c>
      <c r="F1183" t="s">
        <v>17</v>
      </c>
      <c r="G1183">
        <v>465</v>
      </c>
      <c r="H1183" t="s">
        <v>23</v>
      </c>
      <c r="I1183">
        <v>6</v>
      </c>
      <c r="J1183">
        <v>1</v>
      </c>
      <c r="K1183" t="s">
        <v>19</v>
      </c>
      <c r="L1183">
        <v>1</v>
      </c>
      <c r="M1183">
        <v>1661</v>
      </c>
      <c r="O1183">
        <v>3</v>
      </c>
      <c r="P1183">
        <v>4</v>
      </c>
      <c r="Q1183" t="s">
        <v>29</v>
      </c>
      <c r="R1183">
        <v>3</v>
      </c>
      <c r="S1183">
        <v>13966</v>
      </c>
      <c r="T1183" t="s">
        <v>16</v>
      </c>
    </row>
    <row r="1184" spans="1:20" x14ac:dyDescent="0.25">
      <c r="A1184">
        <v>36</v>
      </c>
      <c r="B1184" t="str">
        <f t="shared" si="18"/>
        <v>35-44</v>
      </c>
      <c r="C1184" t="s">
        <v>21</v>
      </c>
      <c r="F1184" t="s">
        <v>30</v>
      </c>
      <c r="G1184">
        <v>894</v>
      </c>
      <c r="H1184" t="s">
        <v>23</v>
      </c>
      <c r="I1184">
        <v>1</v>
      </c>
      <c r="J1184">
        <v>4</v>
      </c>
      <c r="K1184" t="s">
        <v>27</v>
      </c>
      <c r="L1184">
        <v>1</v>
      </c>
      <c r="M1184">
        <v>1662</v>
      </c>
      <c r="O1184">
        <v>4</v>
      </c>
      <c r="P1184">
        <v>2</v>
      </c>
      <c r="Q1184" t="s">
        <v>28</v>
      </c>
      <c r="R1184">
        <v>3</v>
      </c>
      <c r="S1184">
        <v>4374</v>
      </c>
      <c r="T1184" t="s">
        <v>21</v>
      </c>
    </row>
    <row r="1185" spans="1:20" x14ac:dyDescent="0.25">
      <c r="A1185">
        <v>36</v>
      </c>
      <c r="B1185" t="str">
        <f t="shared" si="18"/>
        <v>35-44</v>
      </c>
      <c r="C1185" t="s">
        <v>21</v>
      </c>
      <c r="F1185" t="s">
        <v>17</v>
      </c>
      <c r="G1185">
        <v>1040</v>
      </c>
      <c r="H1185" t="s">
        <v>23</v>
      </c>
      <c r="I1185">
        <v>3</v>
      </c>
      <c r="J1185">
        <v>2</v>
      </c>
      <c r="K1185" t="s">
        <v>19</v>
      </c>
      <c r="L1185">
        <v>1</v>
      </c>
      <c r="M1185">
        <v>1664</v>
      </c>
      <c r="O1185">
        <v>4</v>
      </c>
      <c r="P1185">
        <v>2</v>
      </c>
      <c r="Q1185" t="s">
        <v>29</v>
      </c>
      <c r="R1185">
        <v>1</v>
      </c>
      <c r="S1185">
        <v>6842</v>
      </c>
      <c r="T1185" t="s">
        <v>21</v>
      </c>
    </row>
    <row r="1186" spans="1:20" x14ac:dyDescent="0.25">
      <c r="A1186">
        <v>54</v>
      </c>
      <c r="B1186" t="str">
        <f t="shared" si="18"/>
        <v>45-54</v>
      </c>
      <c r="C1186" t="s">
        <v>21</v>
      </c>
      <c r="F1186" t="s">
        <v>17</v>
      </c>
      <c r="G1186">
        <v>584</v>
      </c>
      <c r="H1186" t="s">
        <v>23</v>
      </c>
      <c r="I1186">
        <v>22</v>
      </c>
      <c r="J1186">
        <v>5</v>
      </c>
      <c r="K1186" t="s">
        <v>27</v>
      </c>
      <c r="L1186">
        <v>1</v>
      </c>
      <c r="M1186">
        <v>1665</v>
      </c>
      <c r="O1186">
        <v>2</v>
      </c>
      <c r="P1186">
        <v>4</v>
      </c>
      <c r="Q1186" t="s">
        <v>31</v>
      </c>
      <c r="R1186">
        <v>3</v>
      </c>
      <c r="S1186">
        <v>17426</v>
      </c>
      <c r="T1186" t="s">
        <v>21</v>
      </c>
    </row>
    <row r="1187" spans="1:20" x14ac:dyDescent="0.25">
      <c r="A1187">
        <v>43</v>
      </c>
      <c r="B1187" t="str">
        <f t="shared" si="18"/>
        <v>35-44</v>
      </c>
      <c r="C1187" t="s">
        <v>21</v>
      </c>
      <c r="F1187" t="s">
        <v>17</v>
      </c>
      <c r="G1187">
        <v>1291</v>
      </c>
      <c r="H1187" t="s">
        <v>23</v>
      </c>
      <c r="I1187">
        <v>15</v>
      </c>
      <c r="J1187">
        <v>2</v>
      </c>
      <c r="K1187" t="s">
        <v>19</v>
      </c>
      <c r="L1187">
        <v>1</v>
      </c>
      <c r="M1187">
        <v>1666</v>
      </c>
      <c r="O1187">
        <v>3</v>
      </c>
      <c r="P1187">
        <v>4</v>
      </c>
      <c r="Q1187" t="s">
        <v>33</v>
      </c>
      <c r="R1187">
        <v>3</v>
      </c>
      <c r="S1187">
        <v>17603</v>
      </c>
      <c r="T1187" t="s">
        <v>21</v>
      </c>
    </row>
    <row r="1188" spans="1:20" x14ac:dyDescent="0.25">
      <c r="A1188">
        <v>35</v>
      </c>
      <c r="B1188" t="str">
        <f t="shared" si="18"/>
        <v>35-44</v>
      </c>
      <c r="C1188" t="s">
        <v>16</v>
      </c>
      <c r="F1188" t="s">
        <v>22</v>
      </c>
      <c r="G1188">
        <v>880</v>
      </c>
      <c r="H1188" t="s">
        <v>18</v>
      </c>
      <c r="I1188">
        <v>12</v>
      </c>
      <c r="J1188">
        <v>4</v>
      </c>
      <c r="K1188" t="s">
        <v>25</v>
      </c>
      <c r="L1188">
        <v>1</v>
      </c>
      <c r="M1188">
        <v>1667</v>
      </c>
      <c r="O1188">
        <v>4</v>
      </c>
      <c r="P1188">
        <v>2</v>
      </c>
      <c r="Q1188" t="s">
        <v>20</v>
      </c>
      <c r="R1188">
        <v>4</v>
      </c>
      <c r="S1188">
        <v>4581</v>
      </c>
      <c r="T1188" t="s">
        <v>16</v>
      </c>
    </row>
    <row r="1189" spans="1:20" x14ac:dyDescent="0.25">
      <c r="A1189">
        <v>38</v>
      </c>
      <c r="B1189" t="str">
        <f t="shared" si="18"/>
        <v>35-44</v>
      </c>
      <c r="C1189" t="s">
        <v>21</v>
      </c>
      <c r="F1189" t="s">
        <v>22</v>
      </c>
      <c r="G1189">
        <v>1189</v>
      </c>
      <c r="H1189" t="s">
        <v>23</v>
      </c>
      <c r="I1189">
        <v>1</v>
      </c>
      <c r="J1189">
        <v>3</v>
      </c>
      <c r="K1189" t="s">
        <v>19</v>
      </c>
      <c r="L1189">
        <v>1</v>
      </c>
      <c r="M1189">
        <v>1668</v>
      </c>
      <c r="O1189">
        <v>4</v>
      </c>
      <c r="P1189">
        <v>2</v>
      </c>
      <c r="Q1189" t="s">
        <v>24</v>
      </c>
      <c r="R1189">
        <v>4</v>
      </c>
      <c r="S1189">
        <v>4735</v>
      </c>
      <c r="T1189" t="s">
        <v>21</v>
      </c>
    </row>
    <row r="1190" spans="1:20" x14ac:dyDescent="0.25">
      <c r="A1190">
        <v>29</v>
      </c>
      <c r="B1190" t="str">
        <f t="shared" si="18"/>
        <v>25-34</v>
      </c>
      <c r="C1190" t="s">
        <v>21</v>
      </c>
      <c r="F1190" t="s">
        <v>17</v>
      </c>
      <c r="G1190">
        <v>991</v>
      </c>
      <c r="H1190" t="s">
        <v>18</v>
      </c>
      <c r="I1190">
        <v>5</v>
      </c>
      <c r="J1190">
        <v>3</v>
      </c>
      <c r="K1190" t="s">
        <v>27</v>
      </c>
      <c r="L1190">
        <v>1</v>
      </c>
      <c r="M1190">
        <v>1669</v>
      </c>
      <c r="O1190">
        <v>1</v>
      </c>
      <c r="P1190">
        <v>2</v>
      </c>
      <c r="Q1190" t="s">
        <v>20</v>
      </c>
      <c r="R1190">
        <v>2</v>
      </c>
      <c r="S1190">
        <v>4187</v>
      </c>
      <c r="T1190" t="s">
        <v>16</v>
      </c>
    </row>
    <row r="1191" spans="1:20" x14ac:dyDescent="0.25">
      <c r="A1191">
        <v>33</v>
      </c>
      <c r="B1191" t="str">
        <f t="shared" si="18"/>
        <v>25-34</v>
      </c>
      <c r="C1191" t="s">
        <v>21</v>
      </c>
      <c r="F1191" t="s">
        <v>17</v>
      </c>
      <c r="G1191">
        <v>392</v>
      </c>
      <c r="H1191" t="s">
        <v>18</v>
      </c>
      <c r="I1191">
        <v>2</v>
      </c>
      <c r="J1191">
        <v>4</v>
      </c>
      <c r="K1191" t="s">
        <v>27</v>
      </c>
      <c r="L1191">
        <v>1</v>
      </c>
      <c r="M1191">
        <v>1670</v>
      </c>
      <c r="O1191">
        <v>4</v>
      </c>
      <c r="P1191">
        <v>2</v>
      </c>
      <c r="Q1191" t="s">
        <v>20</v>
      </c>
      <c r="R1191">
        <v>4</v>
      </c>
      <c r="S1191">
        <v>5505</v>
      </c>
      <c r="T1191" t="s">
        <v>21</v>
      </c>
    </row>
    <row r="1192" spans="1:20" x14ac:dyDescent="0.25">
      <c r="A1192">
        <v>32</v>
      </c>
      <c r="B1192" t="str">
        <f t="shared" si="18"/>
        <v>25-34</v>
      </c>
      <c r="C1192" t="s">
        <v>21</v>
      </c>
      <c r="F1192" t="s">
        <v>17</v>
      </c>
      <c r="G1192">
        <v>977</v>
      </c>
      <c r="H1192" t="s">
        <v>23</v>
      </c>
      <c r="I1192">
        <v>2</v>
      </c>
      <c r="J1192">
        <v>3</v>
      </c>
      <c r="K1192" t="s">
        <v>27</v>
      </c>
      <c r="L1192">
        <v>1</v>
      </c>
      <c r="M1192">
        <v>1671</v>
      </c>
      <c r="O1192">
        <v>4</v>
      </c>
      <c r="P1192">
        <v>2</v>
      </c>
      <c r="Q1192" t="s">
        <v>24</v>
      </c>
      <c r="R1192">
        <v>2</v>
      </c>
      <c r="S1192">
        <v>5470</v>
      </c>
      <c r="T1192" t="s">
        <v>21</v>
      </c>
    </row>
    <row r="1193" spans="1:20" x14ac:dyDescent="0.25">
      <c r="A1193">
        <v>31</v>
      </c>
      <c r="B1193" t="str">
        <f t="shared" si="18"/>
        <v>25-34</v>
      </c>
      <c r="C1193" t="s">
        <v>21</v>
      </c>
      <c r="F1193" t="s">
        <v>17</v>
      </c>
      <c r="G1193">
        <v>1112</v>
      </c>
      <c r="H1193" t="s">
        <v>18</v>
      </c>
      <c r="I1193">
        <v>5</v>
      </c>
      <c r="J1193">
        <v>4</v>
      </c>
      <c r="K1193" t="s">
        <v>19</v>
      </c>
      <c r="L1193">
        <v>1</v>
      </c>
      <c r="M1193">
        <v>1673</v>
      </c>
      <c r="O1193">
        <v>1</v>
      </c>
      <c r="P1193">
        <v>2</v>
      </c>
      <c r="Q1193" t="s">
        <v>20</v>
      </c>
      <c r="R1193">
        <v>4</v>
      </c>
      <c r="S1193">
        <v>5476</v>
      </c>
      <c r="T1193" t="s">
        <v>21</v>
      </c>
    </row>
    <row r="1194" spans="1:20" x14ac:dyDescent="0.25">
      <c r="A1194">
        <v>49</v>
      </c>
      <c r="B1194" t="str">
        <f t="shared" si="18"/>
        <v>45-54</v>
      </c>
      <c r="C1194" t="s">
        <v>21</v>
      </c>
      <c r="F1194" t="s">
        <v>17</v>
      </c>
      <c r="G1194">
        <v>464</v>
      </c>
      <c r="H1194" t="s">
        <v>23</v>
      </c>
      <c r="I1194">
        <v>16</v>
      </c>
      <c r="J1194">
        <v>3</v>
      </c>
      <c r="K1194" t="s">
        <v>27</v>
      </c>
      <c r="L1194">
        <v>1</v>
      </c>
      <c r="M1194">
        <v>1674</v>
      </c>
      <c r="O1194">
        <v>4</v>
      </c>
      <c r="P1194">
        <v>1</v>
      </c>
      <c r="Q1194" t="s">
        <v>26</v>
      </c>
      <c r="R1194">
        <v>1</v>
      </c>
      <c r="S1194">
        <v>2587</v>
      </c>
      <c r="T1194" t="s">
        <v>16</v>
      </c>
    </row>
    <row r="1195" spans="1:20" x14ac:dyDescent="0.25">
      <c r="A1195">
        <v>38</v>
      </c>
      <c r="B1195" t="str">
        <f t="shared" si="18"/>
        <v>35-44</v>
      </c>
      <c r="C1195" t="s">
        <v>21</v>
      </c>
      <c r="F1195" t="s">
        <v>22</v>
      </c>
      <c r="G1195">
        <v>148</v>
      </c>
      <c r="H1195" t="s">
        <v>23</v>
      </c>
      <c r="I1195">
        <v>2</v>
      </c>
      <c r="J1195">
        <v>3</v>
      </c>
      <c r="K1195" t="s">
        <v>27</v>
      </c>
      <c r="L1195">
        <v>1</v>
      </c>
      <c r="M1195">
        <v>1675</v>
      </c>
      <c r="O1195">
        <v>4</v>
      </c>
      <c r="P1195">
        <v>1</v>
      </c>
      <c r="Q1195" t="s">
        <v>26</v>
      </c>
      <c r="R1195">
        <v>2</v>
      </c>
      <c r="S1195">
        <v>2440</v>
      </c>
      <c r="T1195" t="s">
        <v>21</v>
      </c>
    </row>
    <row r="1196" spans="1:20" x14ac:dyDescent="0.25">
      <c r="A1196">
        <v>47</v>
      </c>
      <c r="B1196" t="str">
        <f t="shared" si="18"/>
        <v>45-54</v>
      </c>
      <c r="C1196" t="s">
        <v>21</v>
      </c>
      <c r="F1196" t="s">
        <v>17</v>
      </c>
      <c r="G1196">
        <v>1225</v>
      </c>
      <c r="H1196" t="s">
        <v>18</v>
      </c>
      <c r="I1196">
        <v>2</v>
      </c>
      <c r="J1196">
        <v>4</v>
      </c>
      <c r="K1196" t="s">
        <v>19</v>
      </c>
      <c r="L1196">
        <v>1</v>
      </c>
      <c r="M1196">
        <v>1676</v>
      </c>
      <c r="O1196">
        <v>2</v>
      </c>
      <c r="P1196">
        <v>4</v>
      </c>
      <c r="Q1196" t="s">
        <v>31</v>
      </c>
      <c r="R1196">
        <v>2</v>
      </c>
      <c r="S1196">
        <v>15972</v>
      </c>
      <c r="T1196" t="s">
        <v>21</v>
      </c>
    </row>
    <row r="1197" spans="1:20" x14ac:dyDescent="0.25">
      <c r="A1197">
        <v>49</v>
      </c>
      <c r="B1197" t="str">
        <f t="shared" si="18"/>
        <v>45-54</v>
      </c>
      <c r="C1197" t="s">
        <v>21</v>
      </c>
      <c r="F1197" t="s">
        <v>17</v>
      </c>
      <c r="G1197">
        <v>809</v>
      </c>
      <c r="H1197" t="s">
        <v>23</v>
      </c>
      <c r="I1197">
        <v>1</v>
      </c>
      <c r="J1197">
        <v>3</v>
      </c>
      <c r="K1197" t="s">
        <v>19</v>
      </c>
      <c r="L1197">
        <v>1</v>
      </c>
      <c r="M1197">
        <v>1677</v>
      </c>
      <c r="O1197">
        <v>3</v>
      </c>
      <c r="P1197">
        <v>4</v>
      </c>
      <c r="Q1197" t="s">
        <v>31</v>
      </c>
      <c r="R1197">
        <v>3</v>
      </c>
      <c r="S1197">
        <v>15379</v>
      </c>
      <c r="T1197" t="s">
        <v>21</v>
      </c>
    </row>
    <row r="1198" spans="1:20" x14ac:dyDescent="0.25">
      <c r="A1198">
        <v>41</v>
      </c>
      <c r="B1198" t="str">
        <f t="shared" si="18"/>
        <v>35-44</v>
      </c>
      <c r="C1198" t="s">
        <v>21</v>
      </c>
      <c r="F1198" t="s">
        <v>17</v>
      </c>
      <c r="G1198">
        <v>1206</v>
      </c>
      <c r="H1198" t="s">
        <v>18</v>
      </c>
      <c r="I1198">
        <v>23</v>
      </c>
      <c r="J1198">
        <v>2</v>
      </c>
      <c r="K1198" t="s">
        <v>19</v>
      </c>
      <c r="L1198">
        <v>1</v>
      </c>
      <c r="M1198">
        <v>1678</v>
      </c>
      <c r="O1198">
        <v>4</v>
      </c>
      <c r="P1198">
        <v>3</v>
      </c>
      <c r="Q1198" t="s">
        <v>20</v>
      </c>
      <c r="R1198">
        <v>3</v>
      </c>
      <c r="S1198">
        <v>7082</v>
      </c>
      <c r="T1198" t="s">
        <v>16</v>
      </c>
    </row>
    <row r="1199" spans="1:20" x14ac:dyDescent="0.25">
      <c r="A1199">
        <v>20</v>
      </c>
      <c r="B1199" t="str">
        <f t="shared" si="18"/>
        <v>18-24</v>
      </c>
      <c r="C1199" t="s">
        <v>21</v>
      </c>
      <c r="F1199" t="s">
        <v>17</v>
      </c>
      <c r="G1199">
        <v>727</v>
      </c>
      <c r="H1199" t="s">
        <v>18</v>
      </c>
      <c r="I1199">
        <v>9</v>
      </c>
      <c r="J1199">
        <v>1</v>
      </c>
      <c r="K1199" t="s">
        <v>19</v>
      </c>
      <c r="L1199">
        <v>1</v>
      </c>
      <c r="M1199">
        <v>1680</v>
      </c>
      <c r="O1199">
        <v>4</v>
      </c>
      <c r="P1199">
        <v>1</v>
      </c>
      <c r="Q1199" t="s">
        <v>32</v>
      </c>
      <c r="R1199">
        <v>1</v>
      </c>
      <c r="S1199">
        <v>2728</v>
      </c>
      <c r="T1199" t="s">
        <v>21</v>
      </c>
    </row>
    <row r="1200" spans="1:20" x14ac:dyDescent="0.25">
      <c r="A1200">
        <v>33</v>
      </c>
      <c r="B1200" t="str">
        <f t="shared" si="18"/>
        <v>25-34</v>
      </c>
      <c r="C1200" t="s">
        <v>21</v>
      </c>
      <c r="F1200" t="s">
        <v>30</v>
      </c>
      <c r="G1200">
        <v>530</v>
      </c>
      <c r="H1200" t="s">
        <v>18</v>
      </c>
      <c r="I1200">
        <v>16</v>
      </c>
      <c r="J1200">
        <v>3</v>
      </c>
      <c r="K1200" t="s">
        <v>19</v>
      </c>
      <c r="L1200">
        <v>1</v>
      </c>
      <c r="M1200">
        <v>1681</v>
      </c>
      <c r="O1200">
        <v>3</v>
      </c>
      <c r="P1200">
        <v>2</v>
      </c>
      <c r="Q1200" t="s">
        <v>20</v>
      </c>
      <c r="R1200">
        <v>4</v>
      </c>
      <c r="S1200">
        <v>5368</v>
      </c>
      <c r="T1200" t="s">
        <v>16</v>
      </c>
    </row>
    <row r="1201" spans="1:20" x14ac:dyDescent="0.25">
      <c r="A1201">
        <v>36</v>
      </c>
      <c r="B1201" t="str">
        <f t="shared" si="18"/>
        <v>35-44</v>
      </c>
      <c r="C1201" t="s">
        <v>21</v>
      </c>
      <c r="F1201" t="s">
        <v>17</v>
      </c>
      <c r="G1201">
        <v>1351</v>
      </c>
      <c r="H1201" t="s">
        <v>23</v>
      </c>
      <c r="I1201">
        <v>26</v>
      </c>
      <c r="J1201">
        <v>4</v>
      </c>
      <c r="K1201" t="s">
        <v>19</v>
      </c>
      <c r="L1201">
        <v>1</v>
      </c>
      <c r="M1201">
        <v>1682</v>
      </c>
      <c r="O1201">
        <v>1</v>
      </c>
      <c r="P1201">
        <v>2</v>
      </c>
      <c r="Q1201" t="s">
        <v>29</v>
      </c>
      <c r="R1201">
        <v>3</v>
      </c>
      <c r="S1201">
        <v>5347</v>
      </c>
      <c r="T1201" t="s">
        <v>21</v>
      </c>
    </row>
    <row r="1202" spans="1:20" x14ac:dyDescent="0.25">
      <c r="A1202">
        <v>44</v>
      </c>
      <c r="B1202" t="str">
        <f t="shared" si="18"/>
        <v>35-44</v>
      </c>
      <c r="C1202" t="s">
        <v>21</v>
      </c>
      <c r="F1202" t="s">
        <v>17</v>
      </c>
      <c r="G1202">
        <v>528</v>
      </c>
      <c r="H1202" t="s">
        <v>36</v>
      </c>
      <c r="I1202">
        <v>1</v>
      </c>
      <c r="J1202">
        <v>3</v>
      </c>
      <c r="K1202" t="s">
        <v>19</v>
      </c>
      <c r="L1202">
        <v>1</v>
      </c>
      <c r="M1202">
        <v>1683</v>
      </c>
      <c r="O1202">
        <v>3</v>
      </c>
      <c r="P1202">
        <v>1</v>
      </c>
      <c r="Q1202" t="s">
        <v>36</v>
      </c>
      <c r="R1202">
        <v>4</v>
      </c>
      <c r="S1202">
        <v>3195</v>
      </c>
      <c r="T1202" t="s">
        <v>16</v>
      </c>
    </row>
    <row r="1203" spans="1:20" x14ac:dyDescent="0.25">
      <c r="A1203">
        <v>23</v>
      </c>
      <c r="B1203" t="str">
        <f t="shared" si="18"/>
        <v>18-24</v>
      </c>
      <c r="C1203" t="s">
        <v>16</v>
      </c>
      <c r="F1203" t="s">
        <v>17</v>
      </c>
      <c r="G1203">
        <v>1320</v>
      </c>
      <c r="H1203" t="s">
        <v>23</v>
      </c>
      <c r="I1203">
        <v>8</v>
      </c>
      <c r="J1203">
        <v>1</v>
      </c>
      <c r="K1203" t="s">
        <v>27</v>
      </c>
      <c r="L1203">
        <v>1</v>
      </c>
      <c r="M1203">
        <v>1684</v>
      </c>
      <c r="O1203">
        <v>4</v>
      </c>
      <c r="P1203">
        <v>1</v>
      </c>
      <c r="Q1203" t="s">
        <v>26</v>
      </c>
      <c r="R1203">
        <v>3</v>
      </c>
      <c r="S1203">
        <v>3989</v>
      </c>
      <c r="T1203" t="s">
        <v>16</v>
      </c>
    </row>
    <row r="1204" spans="1:20" x14ac:dyDescent="0.25">
      <c r="A1204">
        <v>38</v>
      </c>
      <c r="B1204" t="str">
        <f t="shared" si="18"/>
        <v>35-44</v>
      </c>
      <c r="C1204" t="s">
        <v>21</v>
      </c>
      <c r="F1204" t="s">
        <v>17</v>
      </c>
      <c r="G1204">
        <v>1495</v>
      </c>
      <c r="H1204" t="s">
        <v>23</v>
      </c>
      <c r="I1204">
        <v>4</v>
      </c>
      <c r="J1204">
        <v>2</v>
      </c>
      <c r="K1204" t="s">
        <v>27</v>
      </c>
      <c r="L1204">
        <v>1</v>
      </c>
      <c r="M1204">
        <v>1687</v>
      </c>
      <c r="O1204">
        <v>4</v>
      </c>
      <c r="P1204">
        <v>1</v>
      </c>
      <c r="Q1204" t="s">
        <v>26</v>
      </c>
      <c r="R1204">
        <v>3</v>
      </c>
      <c r="S1204">
        <v>3306</v>
      </c>
      <c r="T1204" t="s">
        <v>21</v>
      </c>
    </row>
    <row r="1205" spans="1:20" x14ac:dyDescent="0.25">
      <c r="A1205">
        <v>53</v>
      </c>
      <c r="B1205" t="str">
        <f t="shared" si="18"/>
        <v>45-54</v>
      </c>
      <c r="C1205" t="s">
        <v>21</v>
      </c>
      <c r="F1205" t="s">
        <v>17</v>
      </c>
      <c r="G1205">
        <v>1395</v>
      </c>
      <c r="H1205" t="s">
        <v>23</v>
      </c>
      <c r="I1205">
        <v>24</v>
      </c>
      <c r="J1205">
        <v>4</v>
      </c>
      <c r="K1205" t="s">
        <v>27</v>
      </c>
      <c r="L1205">
        <v>1</v>
      </c>
      <c r="M1205">
        <v>1689</v>
      </c>
      <c r="O1205">
        <v>2</v>
      </c>
      <c r="P1205">
        <v>3</v>
      </c>
      <c r="Q1205" t="s">
        <v>29</v>
      </c>
      <c r="R1205">
        <v>4</v>
      </c>
      <c r="S1205">
        <v>7005</v>
      </c>
      <c r="T1205" t="s">
        <v>21</v>
      </c>
    </row>
    <row r="1206" spans="1:20" x14ac:dyDescent="0.25">
      <c r="A1206">
        <v>48</v>
      </c>
      <c r="B1206" t="str">
        <f t="shared" si="18"/>
        <v>45-54</v>
      </c>
      <c r="C1206" t="s">
        <v>16</v>
      </c>
      <c r="F1206" t="s">
        <v>22</v>
      </c>
      <c r="G1206">
        <v>708</v>
      </c>
      <c r="H1206" t="s">
        <v>18</v>
      </c>
      <c r="I1206">
        <v>7</v>
      </c>
      <c r="J1206">
        <v>2</v>
      </c>
      <c r="K1206" t="s">
        <v>27</v>
      </c>
      <c r="L1206">
        <v>1</v>
      </c>
      <c r="M1206">
        <v>1691</v>
      </c>
      <c r="O1206">
        <v>4</v>
      </c>
      <c r="P1206">
        <v>1</v>
      </c>
      <c r="Q1206" t="s">
        <v>32</v>
      </c>
      <c r="R1206">
        <v>3</v>
      </c>
      <c r="S1206">
        <v>2655</v>
      </c>
      <c r="T1206" t="s">
        <v>16</v>
      </c>
    </row>
    <row r="1207" spans="1:20" x14ac:dyDescent="0.25">
      <c r="A1207">
        <v>32</v>
      </c>
      <c r="B1207" t="str">
        <f t="shared" si="18"/>
        <v>25-34</v>
      </c>
      <c r="C1207" t="s">
        <v>16</v>
      </c>
      <c r="F1207" t="s">
        <v>17</v>
      </c>
      <c r="G1207">
        <v>1259</v>
      </c>
      <c r="H1207" t="s">
        <v>23</v>
      </c>
      <c r="I1207">
        <v>2</v>
      </c>
      <c r="J1207">
        <v>4</v>
      </c>
      <c r="K1207" t="s">
        <v>19</v>
      </c>
      <c r="L1207">
        <v>1</v>
      </c>
      <c r="M1207">
        <v>1692</v>
      </c>
      <c r="O1207">
        <v>4</v>
      </c>
      <c r="P1207">
        <v>1</v>
      </c>
      <c r="Q1207" t="s">
        <v>26</v>
      </c>
      <c r="R1207">
        <v>2</v>
      </c>
      <c r="S1207">
        <v>1393</v>
      </c>
      <c r="T1207" t="s">
        <v>21</v>
      </c>
    </row>
    <row r="1208" spans="1:20" x14ac:dyDescent="0.25">
      <c r="A1208">
        <v>26</v>
      </c>
      <c r="B1208" t="str">
        <f t="shared" si="18"/>
        <v>25-34</v>
      </c>
      <c r="C1208" t="s">
        <v>21</v>
      </c>
      <c r="F1208" t="s">
        <v>30</v>
      </c>
      <c r="G1208">
        <v>786</v>
      </c>
      <c r="H1208" t="s">
        <v>23</v>
      </c>
      <c r="I1208">
        <v>7</v>
      </c>
      <c r="J1208">
        <v>3</v>
      </c>
      <c r="K1208" t="s">
        <v>27</v>
      </c>
      <c r="L1208">
        <v>1</v>
      </c>
      <c r="M1208">
        <v>1693</v>
      </c>
      <c r="O1208">
        <v>4</v>
      </c>
      <c r="P1208">
        <v>1</v>
      </c>
      <c r="Q1208" t="s">
        <v>26</v>
      </c>
      <c r="R1208">
        <v>4</v>
      </c>
      <c r="S1208">
        <v>2570</v>
      </c>
      <c r="T1208" t="s">
        <v>21</v>
      </c>
    </row>
    <row r="1209" spans="1:20" x14ac:dyDescent="0.25">
      <c r="A1209">
        <v>55</v>
      </c>
      <c r="B1209" t="str">
        <f t="shared" si="18"/>
        <v>55+</v>
      </c>
      <c r="C1209" t="s">
        <v>21</v>
      </c>
      <c r="F1209" t="s">
        <v>17</v>
      </c>
      <c r="G1209">
        <v>1441</v>
      </c>
      <c r="H1209" t="s">
        <v>23</v>
      </c>
      <c r="I1209">
        <v>22</v>
      </c>
      <c r="J1209">
        <v>3</v>
      </c>
      <c r="K1209" t="s">
        <v>35</v>
      </c>
      <c r="L1209">
        <v>1</v>
      </c>
      <c r="M1209">
        <v>1694</v>
      </c>
      <c r="O1209">
        <v>1</v>
      </c>
      <c r="P1209">
        <v>1</v>
      </c>
      <c r="Q1209" t="s">
        <v>24</v>
      </c>
      <c r="R1209">
        <v>2</v>
      </c>
      <c r="S1209">
        <v>3537</v>
      </c>
      <c r="T1209" t="s">
        <v>21</v>
      </c>
    </row>
    <row r="1210" spans="1:20" x14ac:dyDescent="0.25">
      <c r="A1210">
        <v>34</v>
      </c>
      <c r="B1210" t="str">
        <f t="shared" si="18"/>
        <v>25-34</v>
      </c>
      <c r="C1210" t="s">
        <v>21</v>
      </c>
      <c r="F1210" t="s">
        <v>17</v>
      </c>
      <c r="G1210">
        <v>1157</v>
      </c>
      <c r="H1210" t="s">
        <v>23</v>
      </c>
      <c r="I1210">
        <v>5</v>
      </c>
      <c r="J1210">
        <v>2</v>
      </c>
      <c r="K1210" t="s">
        <v>27</v>
      </c>
      <c r="L1210">
        <v>1</v>
      </c>
      <c r="M1210">
        <v>1696</v>
      </c>
      <c r="O1210">
        <v>2</v>
      </c>
      <c r="P1210">
        <v>2</v>
      </c>
      <c r="Q1210" t="s">
        <v>26</v>
      </c>
      <c r="R1210">
        <v>4</v>
      </c>
      <c r="S1210">
        <v>3986</v>
      </c>
      <c r="T1210" t="s">
        <v>21</v>
      </c>
    </row>
    <row r="1211" spans="1:20" x14ac:dyDescent="0.25">
      <c r="A1211">
        <v>60</v>
      </c>
      <c r="B1211" t="str">
        <f t="shared" si="18"/>
        <v>55+</v>
      </c>
      <c r="C1211" t="s">
        <v>21</v>
      </c>
      <c r="F1211" t="s">
        <v>17</v>
      </c>
      <c r="G1211">
        <v>370</v>
      </c>
      <c r="H1211" t="s">
        <v>23</v>
      </c>
      <c r="I1211">
        <v>1</v>
      </c>
      <c r="J1211">
        <v>4</v>
      </c>
      <c r="K1211" t="s">
        <v>27</v>
      </c>
      <c r="L1211">
        <v>1</v>
      </c>
      <c r="M1211">
        <v>1697</v>
      </c>
      <c r="O1211">
        <v>3</v>
      </c>
      <c r="P1211">
        <v>3</v>
      </c>
      <c r="Q1211" t="s">
        <v>29</v>
      </c>
      <c r="R1211">
        <v>4</v>
      </c>
      <c r="S1211">
        <v>10883</v>
      </c>
      <c r="T1211" t="s">
        <v>21</v>
      </c>
    </row>
    <row r="1212" spans="1:20" x14ac:dyDescent="0.25">
      <c r="A1212">
        <v>33</v>
      </c>
      <c r="B1212" t="str">
        <f t="shared" si="18"/>
        <v>25-34</v>
      </c>
      <c r="C1212" t="s">
        <v>21</v>
      </c>
      <c r="F1212" t="s">
        <v>17</v>
      </c>
      <c r="G1212">
        <v>267</v>
      </c>
      <c r="H1212" t="s">
        <v>23</v>
      </c>
      <c r="I1212">
        <v>21</v>
      </c>
      <c r="J1212">
        <v>3</v>
      </c>
      <c r="K1212" t="s">
        <v>27</v>
      </c>
      <c r="L1212">
        <v>1</v>
      </c>
      <c r="M1212">
        <v>1698</v>
      </c>
      <c r="O1212">
        <v>2</v>
      </c>
      <c r="P1212">
        <v>1</v>
      </c>
      <c r="Q1212" t="s">
        <v>26</v>
      </c>
      <c r="R1212">
        <v>2</v>
      </c>
      <c r="S1212">
        <v>2028</v>
      </c>
      <c r="T1212" t="s">
        <v>21</v>
      </c>
    </row>
    <row r="1213" spans="1:20" x14ac:dyDescent="0.25">
      <c r="A1213">
        <v>37</v>
      </c>
      <c r="B1213" t="str">
        <f t="shared" si="18"/>
        <v>35-44</v>
      </c>
      <c r="C1213" t="s">
        <v>21</v>
      </c>
      <c r="F1213" t="s">
        <v>22</v>
      </c>
      <c r="G1213">
        <v>1278</v>
      </c>
      <c r="H1213" t="s">
        <v>18</v>
      </c>
      <c r="I1213">
        <v>1</v>
      </c>
      <c r="J1213">
        <v>4</v>
      </c>
      <c r="K1213" t="s">
        <v>27</v>
      </c>
      <c r="L1213">
        <v>1</v>
      </c>
      <c r="M1213">
        <v>1700</v>
      </c>
      <c r="O1213">
        <v>3</v>
      </c>
      <c r="P1213">
        <v>2</v>
      </c>
      <c r="Q1213" t="s">
        <v>20</v>
      </c>
      <c r="R1213">
        <v>4</v>
      </c>
      <c r="S1213">
        <v>9525</v>
      </c>
      <c r="T1213" t="s">
        <v>21</v>
      </c>
    </row>
    <row r="1214" spans="1:20" x14ac:dyDescent="0.25">
      <c r="A1214">
        <v>34</v>
      </c>
      <c r="B1214" t="str">
        <f t="shared" si="18"/>
        <v>25-34</v>
      </c>
      <c r="C1214" t="s">
        <v>21</v>
      </c>
      <c r="F1214" t="s">
        <v>17</v>
      </c>
      <c r="G1214">
        <v>678</v>
      </c>
      <c r="H1214" t="s">
        <v>23</v>
      </c>
      <c r="I1214">
        <v>19</v>
      </c>
      <c r="J1214">
        <v>3</v>
      </c>
      <c r="K1214" t="s">
        <v>19</v>
      </c>
      <c r="L1214">
        <v>1</v>
      </c>
      <c r="M1214">
        <v>1701</v>
      </c>
      <c r="O1214">
        <v>2</v>
      </c>
      <c r="P1214">
        <v>1</v>
      </c>
      <c r="Q1214" t="s">
        <v>24</v>
      </c>
      <c r="R1214">
        <v>4</v>
      </c>
      <c r="S1214">
        <v>2929</v>
      </c>
      <c r="T1214" t="s">
        <v>21</v>
      </c>
    </row>
    <row r="1215" spans="1:20" x14ac:dyDescent="0.25">
      <c r="A1215">
        <v>23</v>
      </c>
      <c r="B1215" t="str">
        <f t="shared" si="18"/>
        <v>18-24</v>
      </c>
      <c r="C1215" t="s">
        <v>16</v>
      </c>
      <c r="F1215" t="s">
        <v>17</v>
      </c>
      <c r="G1215">
        <v>427</v>
      </c>
      <c r="H1215" t="s">
        <v>18</v>
      </c>
      <c r="I1215">
        <v>7</v>
      </c>
      <c r="J1215">
        <v>3</v>
      </c>
      <c r="K1215" t="s">
        <v>19</v>
      </c>
      <c r="L1215">
        <v>1</v>
      </c>
      <c r="M1215">
        <v>1702</v>
      </c>
      <c r="O1215">
        <v>3</v>
      </c>
      <c r="P1215">
        <v>1</v>
      </c>
      <c r="Q1215" t="s">
        <v>32</v>
      </c>
      <c r="R1215">
        <v>4</v>
      </c>
      <c r="S1215">
        <v>2275</v>
      </c>
      <c r="T1215" t="s">
        <v>16</v>
      </c>
    </row>
    <row r="1216" spans="1:20" x14ac:dyDescent="0.25">
      <c r="A1216">
        <v>44</v>
      </c>
      <c r="B1216" t="str">
        <f t="shared" si="18"/>
        <v>35-44</v>
      </c>
      <c r="C1216" t="s">
        <v>21</v>
      </c>
      <c r="F1216" t="s">
        <v>17</v>
      </c>
      <c r="G1216">
        <v>921</v>
      </c>
      <c r="H1216" t="s">
        <v>23</v>
      </c>
      <c r="I1216">
        <v>2</v>
      </c>
      <c r="J1216">
        <v>3</v>
      </c>
      <c r="K1216" t="s">
        <v>19</v>
      </c>
      <c r="L1216">
        <v>1</v>
      </c>
      <c r="M1216">
        <v>1703</v>
      </c>
      <c r="O1216">
        <v>3</v>
      </c>
      <c r="P1216">
        <v>3</v>
      </c>
      <c r="Q1216" t="s">
        <v>29</v>
      </c>
      <c r="R1216">
        <v>4</v>
      </c>
      <c r="S1216">
        <v>7879</v>
      </c>
      <c r="T1216" t="s">
        <v>16</v>
      </c>
    </row>
    <row r="1217" spans="1:20" x14ac:dyDescent="0.25">
      <c r="A1217">
        <v>35</v>
      </c>
      <c r="B1217" t="str">
        <f t="shared" si="18"/>
        <v>35-44</v>
      </c>
      <c r="C1217" t="s">
        <v>21</v>
      </c>
      <c r="F1217" t="s">
        <v>22</v>
      </c>
      <c r="G1217">
        <v>146</v>
      </c>
      <c r="H1217" t="s">
        <v>23</v>
      </c>
      <c r="I1217">
        <v>2</v>
      </c>
      <c r="J1217">
        <v>4</v>
      </c>
      <c r="K1217" t="s">
        <v>27</v>
      </c>
      <c r="L1217">
        <v>1</v>
      </c>
      <c r="M1217">
        <v>1704</v>
      </c>
      <c r="O1217">
        <v>1</v>
      </c>
      <c r="P1217">
        <v>1</v>
      </c>
      <c r="Q1217" t="s">
        <v>24</v>
      </c>
      <c r="R1217">
        <v>4</v>
      </c>
      <c r="S1217">
        <v>4930</v>
      </c>
      <c r="T1217" t="s">
        <v>16</v>
      </c>
    </row>
    <row r="1218" spans="1:20" x14ac:dyDescent="0.25">
      <c r="A1218">
        <v>43</v>
      </c>
      <c r="B1218" t="str">
        <f t="shared" si="18"/>
        <v>35-44</v>
      </c>
      <c r="C1218" t="s">
        <v>21</v>
      </c>
      <c r="F1218" t="s">
        <v>17</v>
      </c>
      <c r="G1218">
        <v>1179</v>
      </c>
      <c r="H1218" t="s">
        <v>18</v>
      </c>
      <c r="I1218">
        <v>2</v>
      </c>
      <c r="J1218">
        <v>3</v>
      </c>
      <c r="K1218" t="s">
        <v>27</v>
      </c>
      <c r="L1218">
        <v>1</v>
      </c>
      <c r="M1218">
        <v>1706</v>
      </c>
      <c r="O1218">
        <v>4</v>
      </c>
      <c r="P1218">
        <v>2</v>
      </c>
      <c r="Q1218" t="s">
        <v>20</v>
      </c>
      <c r="R1218">
        <v>4</v>
      </c>
      <c r="S1218">
        <v>7847</v>
      </c>
      <c r="T1218" t="s">
        <v>16</v>
      </c>
    </row>
    <row r="1219" spans="1:20" x14ac:dyDescent="0.25">
      <c r="A1219">
        <v>24</v>
      </c>
      <c r="B1219" t="str">
        <f t="shared" ref="B1219:B1282" si="19">IF(A1219&lt;=24,"18-24",IF(A1219&lt;=34,"25-34",IF(A1219&lt;=44,"35-44",IF(A1219&lt;=54,"45-54","55+"))))</f>
        <v>18-24</v>
      </c>
      <c r="C1219" t="s">
        <v>21</v>
      </c>
      <c r="F1219" t="s">
        <v>17</v>
      </c>
      <c r="G1219">
        <v>581</v>
      </c>
      <c r="H1219" t="s">
        <v>23</v>
      </c>
      <c r="I1219">
        <v>9</v>
      </c>
      <c r="J1219">
        <v>3</v>
      </c>
      <c r="K1219" t="s">
        <v>27</v>
      </c>
      <c r="L1219">
        <v>1</v>
      </c>
      <c r="M1219">
        <v>1707</v>
      </c>
      <c r="O1219">
        <v>3</v>
      </c>
      <c r="P1219">
        <v>1</v>
      </c>
      <c r="Q1219" t="s">
        <v>24</v>
      </c>
      <c r="R1219">
        <v>3</v>
      </c>
      <c r="S1219">
        <v>4401</v>
      </c>
      <c r="T1219" t="s">
        <v>21</v>
      </c>
    </row>
    <row r="1220" spans="1:20" x14ac:dyDescent="0.25">
      <c r="A1220">
        <v>41</v>
      </c>
      <c r="B1220" t="str">
        <f t="shared" si="19"/>
        <v>35-44</v>
      </c>
      <c r="C1220" t="s">
        <v>21</v>
      </c>
      <c r="F1220" t="s">
        <v>17</v>
      </c>
      <c r="G1220">
        <v>918</v>
      </c>
      <c r="H1220" t="s">
        <v>18</v>
      </c>
      <c r="I1220">
        <v>6</v>
      </c>
      <c r="J1220">
        <v>3</v>
      </c>
      <c r="K1220" t="s">
        <v>34</v>
      </c>
      <c r="L1220">
        <v>1</v>
      </c>
      <c r="M1220">
        <v>1708</v>
      </c>
      <c r="O1220">
        <v>4</v>
      </c>
      <c r="P1220">
        <v>3</v>
      </c>
      <c r="Q1220" t="s">
        <v>20</v>
      </c>
      <c r="R1220">
        <v>3</v>
      </c>
      <c r="S1220">
        <v>9241</v>
      </c>
      <c r="T1220" t="s">
        <v>21</v>
      </c>
    </row>
    <row r="1221" spans="1:20" x14ac:dyDescent="0.25">
      <c r="A1221">
        <v>29</v>
      </c>
      <c r="B1221" t="str">
        <f t="shared" si="19"/>
        <v>25-34</v>
      </c>
      <c r="C1221" t="s">
        <v>21</v>
      </c>
      <c r="F1221" t="s">
        <v>17</v>
      </c>
      <c r="G1221">
        <v>1082</v>
      </c>
      <c r="H1221" t="s">
        <v>23</v>
      </c>
      <c r="I1221">
        <v>9</v>
      </c>
      <c r="J1221">
        <v>4</v>
      </c>
      <c r="K1221" t="s">
        <v>27</v>
      </c>
      <c r="L1221">
        <v>1</v>
      </c>
      <c r="M1221">
        <v>1709</v>
      </c>
      <c r="O1221">
        <v>4</v>
      </c>
      <c r="P1221">
        <v>1</v>
      </c>
      <c r="Q1221" t="s">
        <v>26</v>
      </c>
      <c r="R1221">
        <v>3</v>
      </c>
      <c r="S1221">
        <v>2974</v>
      </c>
      <c r="T1221" t="s">
        <v>21</v>
      </c>
    </row>
    <row r="1222" spans="1:20" x14ac:dyDescent="0.25">
      <c r="A1222">
        <v>36</v>
      </c>
      <c r="B1222" t="str">
        <f t="shared" si="19"/>
        <v>35-44</v>
      </c>
      <c r="C1222" t="s">
        <v>21</v>
      </c>
      <c r="F1222" t="s">
        <v>17</v>
      </c>
      <c r="G1222">
        <v>530</v>
      </c>
      <c r="H1222" t="s">
        <v>18</v>
      </c>
      <c r="I1222">
        <v>2</v>
      </c>
      <c r="J1222">
        <v>4</v>
      </c>
      <c r="K1222" t="s">
        <v>19</v>
      </c>
      <c r="L1222">
        <v>1</v>
      </c>
      <c r="M1222">
        <v>1710</v>
      </c>
      <c r="O1222">
        <v>3</v>
      </c>
      <c r="P1222">
        <v>2</v>
      </c>
      <c r="Q1222" t="s">
        <v>32</v>
      </c>
      <c r="R1222">
        <v>4</v>
      </c>
      <c r="S1222">
        <v>4502</v>
      </c>
      <c r="T1222" t="s">
        <v>21</v>
      </c>
    </row>
    <row r="1223" spans="1:20" x14ac:dyDescent="0.25">
      <c r="A1223">
        <v>45</v>
      </c>
      <c r="B1223" t="str">
        <f t="shared" si="19"/>
        <v>45-54</v>
      </c>
      <c r="C1223" t="s">
        <v>21</v>
      </c>
      <c r="F1223" t="s">
        <v>30</v>
      </c>
      <c r="G1223">
        <v>1238</v>
      </c>
      <c r="H1223" t="s">
        <v>23</v>
      </c>
      <c r="I1223">
        <v>1</v>
      </c>
      <c r="J1223">
        <v>1</v>
      </c>
      <c r="K1223" t="s">
        <v>19</v>
      </c>
      <c r="L1223">
        <v>1</v>
      </c>
      <c r="M1223">
        <v>1712</v>
      </c>
      <c r="O1223">
        <v>3</v>
      </c>
      <c r="P1223">
        <v>3</v>
      </c>
      <c r="Q1223" t="s">
        <v>29</v>
      </c>
      <c r="R1223">
        <v>3</v>
      </c>
      <c r="S1223">
        <v>10748</v>
      </c>
      <c r="T1223" t="s">
        <v>21</v>
      </c>
    </row>
    <row r="1224" spans="1:20" x14ac:dyDescent="0.25">
      <c r="A1224">
        <v>24</v>
      </c>
      <c r="B1224" t="str">
        <f t="shared" si="19"/>
        <v>18-24</v>
      </c>
      <c r="C1224" t="s">
        <v>16</v>
      </c>
      <c r="F1224" t="s">
        <v>17</v>
      </c>
      <c r="G1224">
        <v>240</v>
      </c>
      <c r="H1224" t="s">
        <v>36</v>
      </c>
      <c r="I1224">
        <v>22</v>
      </c>
      <c r="J1224">
        <v>1</v>
      </c>
      <c r="K1224" t="s">
        <v>36</v>
      </c>
      <c r="L1224">
        <v>1</v>
      </c>
      <c r="M1224">
        <v>1714</v>
      </c>
      <c r="O1224">
        <v>4</v>
      </c>
      <c r="P1224">
        <v>1</v>
      </c>
      <c r="Q1224" t="s">
        <v>36</v>
      </c>
      <c r="R1224">
        <v>3</v>
      </c>
      <c r="S1224">
        <v>1555</v>
      </c>
      <c r="T1224" t="s">
        <v>21</v>
      </c>
    </row>
    <row r="1225" spans="1:20" x14ac:dyDescent="0.25">
      <c r="A1225">
        <v>47</v>
      </c>
      <c r="B1225" t="str">
        <f t="shared" si="19"/>
        <v>45-54</v>
      </c>
      <c r="C1225" t="s">
        <v>16</v>
      </c>
      <c r="F1225" t="s">
        <v>22</v>
      </c>
      <c r="G1225">
        <v>1093</v>
      </c>
      <c r="H1225" t="s">
        <v>18</v>
      </c>
      <c r="I1225">
        <v>9</v>
      </c>
      <c r="J1225">
        <v>3</v>
      </c>
      <c r="K1225" t="s">
        <v>19</v>
      </c>
      <c r="L1225">
        <v>1</v>
      </c>
      <c r="M1225">
        <v>1716</v>
      </c>
      <c r="O1225">
        <v>3</v>
      </c>
      <c r="P1225">
        <v>4</v>
      </c>
      <c r="Q1225" t="s">
        <v>20</v>
      </c>
      <c r="R1225">
        <v>3</v>
      </c>
      <c r="S1225">
        <v>12936</v>
      </c>
      <c r="T1225" t="s">
        <v>21</v>
      </c>
    </row>
    <row r="1226" spans="1:20" x14ac:dyDescent="0.25">
      <c r="A1226">
        <v>26</v>
      </c>
      <c r="B1226" t="str">
        <f t="shared" si="19"/>
        <v>25-34</v>
      </c>
      <c r="C1226" t="s">
        <v>21</v>
      </c>
      <c r="F1226" t="s">
        <v>17</v>
      </c>
      <c r="G1226">
        <v>390</v>
      </c>
      <c r="H1226" t="s">
        <v>23</v>
      </c>
      <c r="I1226">
        <v>17</v>
      </c>
      <c r="J1226">
        <v>4</v>
      </c>
      <c r="K1226" t="s">
        <v>27</v>
      </c>
      <c r="L1226">
        <v>1</v>
      </c>
      <c r="M1226">
        <v>1718</v>
      </c>
      <c r="O1226">
        <v>4</v>
      </c>
      <c r="P1226">
        <v>1</v>
      </c>
      <c r="Q1226" t="s">
        <v>26</v>
      </c>
      <c r="R1226">
        <v>3</v>
      </c>
      <c r="S1226">
        <v>2305</v>
      </c>
      <c r="T1226" t="s">
        <v>21</v>
      </c>
    </row>
    <row r="1227" spans="1:20" x14ac:dyDescent="0.25">
      <c r="A1227">
        <v>45</v>
      </c>
      <c r="B1227" t="str">
        <f t="shared" si="19"/>
        <v>45-54</v>
      </c>
      <c r="C1227" t="s">
        <v>21</v>
      </c>
      <c r="F1227" t="s">
        <v>17</v>
      </c>
      <c r="G1227">
        <v>1005</v>
      </c>
      <c r="H1227" t="s">
        <v>23</v>
      </c>
      <c r="I1227">
        <v>28</v>
      </c>
      <c r="J1227">
        <v>2</v>
      </c>
      <c r="K1227" t="s">
        <v>35</v>
      </c>
      <c r="L1227">
        <v>1</v>
      </c>
      <c r="M1227">
        <v>1719</v>
      </c>
      <c r="O1227">
        <v>4</v>
      </c>
      <c r="P1227">
        <v>4</v>
      </c>
      <c r="Q1227" t="s">
        <v>33</v>
      </c>
      <c r="R1227">
        <v>2</v>
      </c>
      <c r="S1227">
        <v>16704</v>
      </c>
      <c r="T1227" t="s">
        <v>21</v>
      </c>
    </row>
    <row r="1228" spans="1:20" x14ac:dyDescent="0.25">
      <c r="A1228">
        <v>32</v>
      </c>
      <c r="B1228" t="str">
        <f t="shared" si="19"/>
        <v>25-34</v>
      </c>
      <c r="C1228" t="s">
        <v>21</v>
      </c>
      <c r="F1228" t="s">
        <v>22</v>
      </c>
      <c r="G1228">
        <v>585</v>
      </c>
      <c r="H1228" t="s">
        <v>23</v>
      </c>
      <c r="I1228">
        <v>10</v>
      </c>
      <c r="J1228">
        <v>3</v>
      </c>
      <c r="K1228" t="s">
        <v>19</v>
      </c>
      <c r="L1228">
        <v>1</v>
      </c>
      <c r="M1228">
        <v>1720</v>
      </c>
      <c r="O1228">
        <v>1</v>
      </c>
      <c r="P1228">
        <v>1</v>
      </c>
      <c r="Q1228" t="s">
        <v>24</v>
      </c>
      <c r="R1228">
        <v>3</v>
      </c>
      <c r="S1228">
        <v>3433</v>
      </c>
      <c r="T1228" t="s">
        <v>21</v>
      </c>
    </row>
    <row r="1229" spans="1:20" x14ac:dyDescent="0.25">
      <c r="A1229">
        <v>31</v>
      </c>
      <c r="B1229" t="str">
        <f t="shared" si="19"/>
        <v>25-34</v>
      </c>
      <c r="C1229" t="s">
        <v>21</v>
      </c>
      <c r="F1229" t="s">
        <v>17</v>
      </c>
      <c r="G1229">
        <v>741</v>
      </c>
      <c r="H1229" t="s">
        <v>23</v>
      </c>
      <c r="I1229">
        <v>2</v>
      </c>
      <c r="J1229">
        <v>4</v>
      </c>
      <c r="K1229" t="s">
        <v>19</v>
      </c>
      <c r="L1229">
        <v>1</v>
      </c>
      <c r="M1229">
        <v>1721</v>
      </c>
      <c r="O1229">
        <v>2</v>
      </c>
      <c r="P1229">
        <v>1</v>
      </c>
      <c r="Q1229" t="s">
        <v>26</v>
      </c>
      <c r="R1229">
        <v>3</v>
      </c>
      <c r="S1229">
        <v>3477</v>
      </c>
      <c r="T1229" t="s">
        <v>21</v>
      </c>
    </row>
    <row r="1230" spans="1:20" x14ac:dyDescent="0.25">
      <c r="A1230">
        <v>41</v>
      </c>
      <c r="B1230" t="str">
        <f t="shared" si="19"/>
        <v>35-44</v>
      </c>
      <c r="C1230" t="s">
        <v>21</v>
      </c>
      <c r="F1230" t="s">
        <v>30</v>
      </c>
      <c r="G1230">
        <v>552</v>
      </c>
      <c r="H1230" t="s">
        <v>36</v>
      </c>
      <c r="I1230">
        <v>4</v>
      </c>
      <c r="J1230">
        <v>3</v>
      </c>
      <c r="K1230" t="s">
        <v>36</v>
      </c>
      <c r="L1230">
        <v>1</v>
      </c>
      <c r="M1230">
        <v>1722</v>
      </c>
      <c r="O1230">
        <v>3</v>
      </c>
      <c r="P1230">
        <v>2</v>
      </c>
      <c r="Q1230" t="s">
        <v>36</v>
      </c>
      <c r="R1230">
        <v>2</v>
      </c>
      <c r="S1230">
        <v>6430</v>
      </c>
      <c r="T1230" t="s">
        <v>21</v>
      </c>
    </row>
    <row r="1231" spans="1:20" x14ac:dyDescent="0.25">
      <c r="A1231">
        <v>40</v>
      </c>
      <c r="B1231" t="str">
        <f t="shared" si="19"/>
        <v>35-44</v>
      </c>
      <c r="C1231" t="s">
        <v>21</v>
      </c>
      <c r="F1231" t="s">
        <v>17</v>
      </c>
      <c r="G1231">
        <v>369</v>
      </c>
      <c r="H1231" t="s">
        <v>23</v>
      </c>
      <c r="I1231">
        <v>8</v>
      </c>
      <c r="J1231">
        <v>2</v>
      </c>
      <c r="K1231" t="s">
        <v>19</v>
      </c>
      <c r="L1231">
        <v>1</v>
      </c>
      <c r="M1231">
        <v>1724</v>
      </c>
      <c r="O1231">
        <v>2</v>
      </c>
      <c r="P1231">
        <v>2</v>
      </c>
      <c r="Q1231" t="s">
        <v>28</v>
      </c>
      <c r="R1231">
        <v>1</v>
      </c>
      <c r="S1231">
        <v>6516</v>
      </c>
      <c r="T1231" t="s">
        <v>16</v>
      </c>
    </row>
    <row r="1232" spans="1:20" x14ac:dyDescent="0.25">
      <c r="A1232">
        <v>24</v>
      </c>
      <c r="B1232" t="str">
        <f t="shared" si="19"/>
        <v>18-24</v>
      </c>
      <c r="C1232" t="s">
        <v>21</v>
      </c>
      <c r="F1232" t="s">
        <v>17</v>
      </c>
      <c r="G1232">
        <v>506</v>
      </c>
      <c r="H1232" t="s">
        <v>23</v>
      </c>
      <c r="I1232">
        <v>29</v>
      </c>
      <c r="J1232">
        <v>1</v>
      </c>
      <c r="K1232" t="s">
        <v>27</v>
      </c>
      <c r="L1232">
        <v>1</v>
      </c>
      <c r="M1232">
        <v>1725</v>
      </c>
      <c r="O1232">
        <v>2</v>
      </c>
      <c r="P1232">
        <v>1</v>
      </c>
      <c r="Q1232" t="s">
        <v>26</v>
      </c>
      <c r="R1232">
        <v>1</v>
      </c>
      <c r="S1232">
        <v>3907</v>
      </c>
      <c r="T1232" t="s">
        <v>21</v>
      </c>
    </row>
    <row r="1233" spans="1:20" x14ac:dyDescent="0.25">
      <c r="A1233">
        <v>46</v>
      </c>
      <c r="B1233" t="str">
        <f t="shared" si="19"/>
        <v>45-54</v>
      </c>
      <c r="C1233" t="s">
        <v>21</v>
      </c>
      <c r="F1233" t="s">
        <v>17</v>
      </c>
      <c r="G1233">
        <v>717</v>
      </c>
      <c r="H1233" t="s">
        <v>23</v>
      </c>
      <c r="I1233">
        <v>13</v>
      </c>
      <c r="J1233">
        <v>4</v>
      </c>
      <c r="K1233" t="s">
        <v>19</v>
      </c>
      <c r="L1233">
        <v>1</v>
      </c>
      <c r="M1233">
        <v>1727</v>
      </c>
      <c r="O1233">
        <v>3</v>
      </c>
      <c r="P1233">
        <v>2</v>
      </c>
      <c r="Q1233" t="s">
        <v>29</v>
      </c>
      <c r="R1233">
        <v>2</v>
      </c>
      <c r="S1233">
        <v>5562</v>
      </c>
      <c r="T1233" t="s">
        <v>21</v>
      </c>
    </row>
    <row r="1234" spans="1:20" x14ac:dyDescent="0.25">
      <c r="A1234">
        <v>35</v>
      </c>
      <c r="B1234" t="str">
        <f t="shared" si="19"/>
        <v>35-44</v>
      </c>
      <c r="C1234" t="s">
        <v>21</v>
      </c>
      <c r="F1234" t="s">
        <v>17</v>
      </c>
      <c r="G1234">
        <v>1370</v>
      </c>
      <c r="H1234" t="s">
        <v>23</v>
      </c>
      <c r="I1234">
        <v>27</v>
      </c>
      <c r="J1234">
        <v>4</v>
      </c>
      <c r="K1234" t="s">
        <v>19</v>
      </c>
      <c r="L1234">
        <v>1</v>
      </c>
      <c r="M1234">
        <v>1728</v>
      </c>
      <c r="O1234">
        <v>4</v>
      </c>
      <c r="P1234">
        <v>2</v>
      </c>
      <c r="Q1234" t="s">
        <v>28</v>
      </c>
      <c r="R1234">
        <v>3</v>
      </c>
      <c r="S1234">
        <v>6883</v>
      </c>
      <c r="T1234" t="s">
        <v>21</v>
      </c>
    </row>
    <row r="1235" spans="1:20" x14ac:dyDescent="0.25">
      <c r="A1235">
        <v>30</v>
      </c>
      <c r="B1235" t="str">
        <f t="shared" si="19"/>
        <v>25-34</v>
      </c>
      <c r="C1235" t="s">
        <v>21</v>
      </c>
      <c r="F1235" t="s">
        <v>17</v>
      </c>
      <c r="G1235">
        <v>793</v>
      </c>
      <c r="H1235" t="s">
        <v>23</v>
      </c>
      <c r="I1235">
        <v>16</v>
      </c>
      <c r="J1235">
        <v>1</v>
      </c>
      <c r="K1235" t="s">
        <v>19</v>
      </c>
      <c r="L1235">
        <v>1</v>
      </c>
      <c r="M1235">
        <v>1729</v>
      </c>
      <c r="O1235">
        <v>2</v>
      </c>
      <c r="P1235">
        <v>1</v>
      </c>
      <c r="Q1235" t="s">
        <v>24</v>
      </c>
      <c r="R1235">
        <v>4</v>
      </c>
      <c r="S1235">
        <v>2862</v>
      </c>
      <c r="T1235" t="s">
        <v>21</v>
      </c>
    </row>
    <row r="1236" spans="1:20" x14ac:dyDescent="0.25">
      <c r="A1236">
        <v>47</v>
      </c>
      <c r="B1236" t="str">
        <f t="shared" si="19"/>
        <v>45-54</v>
      </c>
      <c r="C1236" t="s">
        <v>21</v>
      </c>
      <c r="F1236" t="s">
        <v>30</v>
      </c>
      <c r="G1236">
        <v>543</v>
      </c>
      <c r="H1236" t="s">
        <v>18</v>
      </c>
      <c r="I1236">
        <v>2</v>
      </c>
      <c r="J1236">
        <v>4</v>
      </c>
      <c r="K1236" t="s">
        <v>34</v>
      </c>
      <c r="L1236">
        <v>1</v>
      </c>
      <c r="M1236">
        <v>1731</v>
      </c>
      <c r="O1236">
        <v>3</v>
      </c>
      <c r="P1236">
        <v>2</v>
      </c>
      <c r="Q1236" t="s">
        <v>20</v>
      </c>
      <c r="R1236">
        <v>2</v>
      </c>
      <c r="S1236">
        <v>4978</v>
      </c>
      <c r="T1236" t="s">
        <v>21</v>
      </c>
    </row>
    <row r="1237" spans="1:20" x14ac:dyDescent="0.25">
      <c r="A1237">
        <v>46</v>
      </c>
      <c r="B1237" t="str">
        <f t="shared" si="19"/>
        <v>45-54</v>
      </c>
      <c r="C1237" t="s">
        <v>21</v>
      </c>
      <c r="F1237" t="s">
        <v>17</v>
      </c>
      <c r="G1237">
        <v>1277</v>
      </c>
      <c r="H1237" t="s">
        <v>18</v>
      </c>
      <c r="I1237">
        <v>2</v>
      </c>
      <c r="J1237">
        <v>3</v>
      </c>
      <c r="K1237" t="s">
        <v>19</v>
      </c>
      <c r="L1237">
        <v>1</v>
      </c>
      <c r="M1237">
        <v>1732</v>
      </c>
      <c r="O1237">
        <v>3</v>
      </c>
      <c r="P1237">
        <v>3</v>
      </c>
      <c r="Q1237" t="s">
        <v>20</v>
      </c>
      <c r="R1237">
        <v>4</v>
      </c>
      <c r="S1237">
        <v>10368</v>
      </c>
      <c r="T1237" t="s">
        <v>16</v>
      </c>
    </row>
    <row r="1238" spans="1:20" x14ac:dyDescent="0.25">
      <c r="A1238">
        <v>36</v>
      </c>
      <c r="B1238" t="str">
        <f t="shared" si="19"/>
        <v>35-44</v>
      </c>
      <c r="C1238" t="s">
        <v>16</v>
      </c>
      <c r="F1238" t="s">
        <v>17</v>
      </c>
      <c r="G1238">
        <v>1456</v>
      </c>
      <c r="H1238" t="s">
        <v>18</v>
      </c>
      <c r="I1238">
        <v>13</v>
      </c>
      <c r="J1238">
        <v>5</v>
      </c>
      <c r="K1238" t="s">
        <v>34</v>
      </c>
      <c r="L1238">
        <v>1</v>
      </c>
      <c r="M1238">
        <v>1733</v>
      </c>
      <c r="O1238">
        <v>2</v>
      </c>
      <c r="P1238">
        <v>2</v>
      </c>
      <c r="Q1238" t="s">
        <v>20</v>
      </c>
      <c r="R1238">
        <v>1</v>
      </c>
      <c r="S1238">
        <v>6134</v>
      </c>
      <c r="T1238" t="s">
        <v>16</v>
      </c>
    </row>
    <row r="1239" spans="1:20" x14ac:dyDescent="0.25">
      <c r="A1239">
        <v>32</v>
      </c>
      <c r="B1239" t="str">
        <f t="shared" si="19"/>
        <v>25-34</v>
      </c>
      <c r="C1239" t="s">
        <v>16</v>
      </c>
      <c r="F1239" t="s">
        <v>17</v>
      </c>
      <c r="G1239">
        <v>964</v>
      </c>
      <c r="H1239" t="s">
        <v>18</v>
      </c>
      <c r="I1239">
        <v>1</v>
      </c>
      <c r="J1239">
        <v>2</v>
      </c>
      <c r="K1239" t="s">
        <v>19</v>
      </c>
      <c r="L1239">
        <v>1</v>
      </c>
      <c r="M1239">
        <v>1734</v>
      </c>
      <c r="O1239">
        <v>1</v>
      </c>
      <c r="P1239">
        <v>2</v>
      </c>
      <c r="Q1239" t="s">
        <v>20</v>
      </c>
      <c r="R1239">
        <v>2</v>
      </c>
      <c r="S1239">
        <v>6735</v>
      </c>
      <c r="T1239" t="s">
        <v>21</v>
      </c>
    </row>
    <row r="1240" spans="1:20" x14ac:dyDescent="0.25">
      <c r="A1240">
        <v>23</v>
      </c>
      <c r="B1240" t="str">
        <f t="shared" si="19"/>
        <v>18-24</v>
      </c>
      <c r="C1240" t="s">
        <v>21</v>
      </c>
      <c r="F1240" t="s">
        <v>17</v>
      </c>
      <c r="G1240">
        <v>160</v>
      </c>
      <c r="H1240" t="s">
        <v>23</v>
      </c>
      <c r="I1240">
        <v>4</v>
      </c>
      <c r="J1240">
        <v>1</v>
      </c>
      <c r="K1240" t="s">
        <v>27</v>
      </c>
      <c r="L1240">
        <v>1</v>
      </c>
      <c r="M1240">
        <v>1735</v>
      </c>
      <c r="O1240">
        <v>3</v>
      </c>
      <c r="P1240">
        <v>1</v>
      </c>
      <c r="Q1240" t="s">
        <v>26</v>
      </c>
      <c r="R1240">
        <v>2</v>
      </c>
      <c r="S1240">
        <v>3295</v>
      </c>
      <c r="T1240" t="s">
        <v>21</v>
      </c>
    </row>
    <row r="1241" spans="1:20" x14ac:dyDescent="0.25">
      <c r="A1241">
        <v>31</v>
      </c>
      <c r="B1241" t="str">
        <f t="shared" si="19"/>
        <v>25-34</v>
      </c>
      <c r="C1241" t="s">
        <v>21</v>
      </c>
      <c r="F1241" t="s">
        <v>22</v>
      </c>
      <c r="G1241">
        <v>163</v>
      </c>
      <c r="H1241" t="s">
        <v>23</v>
      </c>
      <c r="I1241">
        <v>24</v>
      </c>
      <c r="J1241">
        <v>1</v>
      </c>
      <c r="K1241" t="s">
        <v>35</v>
      </c>
      <c r="L1241">
        <v>1</v>
      </c>
      <c r="M1241">
        <v>1736</v>
      </c>
      <c r="O1241">
        <v>4</v>
      </c>
      <c r="P1241">
        <v>2</v>
      </c>
      <c r="Q1241" t="s">
        <v>28</v>
      </c>
      <c r="R1241">
        <v>4</v>
      </c>
      <c r="S1241">
        <v>5238</v>
      </c>
      <c r="T1241" t="s">
        <v>21</v>
      </c>
    </row>
    <row r="1242" spans="1:20" x14ac:dyDescent="0.25">
      <c r="A1242">
        <v>39</v>
      </c>
      <c r="B1242" t="str">
        <f t="shared" si="19"/>
        <v>35-44</v>
      </c>
      <c r="C1242" t="s">
        <v>21</v>
      </c>
      <c r="F1242" t="s">
        <v>30</v>
      </c>
      <c r="G1242">
        <v>792</v>
      </c>
      <c r="H1242" t="s">
        <v>23</v>
      </c>
      <c r="I1242">
        <v>1</v>
      </c>
      <c r="J1242">
        <v>3</v>
      </c>
      <c r="K1242" t="s">
        <v>19</v>
      </c>
      <c r="L1242">
        <v>1</v>
      </c>
      <c r="M1242">
        <v>1737</v>
      </c>
      <c r="O1242">
        <v>4</v>
      </c>
      <c r="P1242">
        <v>2</v>
      </c>
      <c r="Q1242" t="s">
        <v>26</v>
      </c>
      <c r="R1242">
        <v>4</v>
      </c>
      <c r="S1242">
        <v>6472</v>
      </c>
      <c r="T1242" t="s">
        <v>16</v>
      </c>
    </row>
    <row r="1243" spans="1:20" x14ac:dyDescent="0.25">
      <c r="A1243">
        <v>32</v>
      </c>
      <c r="B1243" t="str">
        <f t="shared" si="19"/>
        <v>25-34</v>
      </c>
      <c r="C1243" t="s">
        <v>21</v>
      </c>
      <c r="F1243" t="s">
        <v>17</v>
      </c>
      <c r="G1243">
        <v>371</v>
      </c>
      <c r="H1243" t="s">
        <v>18</v>
      </c>
      <c r="I1243">
        <v>19</v>
      </c>
      <c r="J1243">
        <v>3</v>
      </c>
      <c r="K1243" t="s">
        <v>19</v>
      </c>
      <c r="L1243">
        <v>1</v>
      </c>
      <c r="M1243">
        <v>1739</v>
      </c>
      <c r="O1243">
        <v>4</v>
      </c>
      <c r="P1243">
        <v>3</v>
      </c>
      <c r="Q1243" t="s">
        <v>20</v>
      </c>
      <c r="R1243">
        <v>3</v>
      </c>
      <c r="S1243">
        <v>9610</v>
      </c>
      <c r="T1243" t="s">
        <v>21</v>
      </c>
    </row>
    <row r="1244" spans="1:20" x14ac:dyDescent="0.25">
      <c r="A1244">
        <v>40</v>
      </c>
      <c r="B1244" t="str">
        <f t="shared" si="19"/>
        <v>35-44</v>
      </c>
      <c r="C1244" t="s">
        <v>21</v>
      </c>
      <c r="F1244" t="s">
        <v>17</v>
      </c>
      <c r="G1244">
        <v>611</v>
      </c>
      <c r="H1244" t="s">
        <v>18</v>
      </c>
      <c r="I1244">
        <v>7</v>
      </c>
      <c r="J1244">
        <v>4</v>
      </c>
      <c r="K1244" t="s">
        <v>27</v>
      </c>
      <c r="L1244">
        <v>1</v>
      </c>
      <c r="M1244">
        <v>1740</v>
      </c>
      <c r="O1244">
        <v>2</v>
      </c>
      <c r="P1244">
        <v>5</v>
      </c>
      <c r="Q1244" t="s">
        <v>31</v>
      </c>
      <c r="R1244">
        <v>2</v>
      </c>
      <c r="S1244">
        <v>19833</v>
      </c>
      <c r="T1244" t="s">
        <v>21</v>
      </c>
    </row>
    <row r="1245" spans="1:20" x14ac:dyDescent="0.25">
      <c r="A1245">
        <v>45</v>
      </c>
      <c r="B1245" t="str">
        <f t="shared" si="19"/>
        <v>45-54</v>
      </c>
      <c r="C1245" t="s">
        <v>21</v>
      </c>
      <c r="F1245" t="s">
        <v>17</v>
      </c>
      <c r="G1245">
        <v>176</v>
      </c>
      <c r="H1245" t="s">
        <v>36</v>
      </c>
      <c r="I1245">
        <v>4</v>
      </c>
      <c r="J1245">
        <v>3</v>
      </c>
      <c r="K1245" t="s">
        <v>19</v>
      </c>
      <c r="L1245">
        <v>1</v>
      </c>
      <c r="M1245">
        <v>1744</v>
      </c>
      <c r="O1245">
        <v>3</v>
      </c>
      <c r="P1245">
        <v>3</v>
      </c>
      <c r="Q1245" t="s">
        <v>36</v>
      </c>
      <c r="R1245">
        <v>3</v>
      </c>
      <c r="S1245">
        <v>9756</v>
      </c>
      <c r="T1245" t="s">
        <v>21</v>
      </c>
    </row>
    <row r="1246" spans="1:20" x14ac:dyDescent="0.25">
      <c r="A1246">
        <v>30</v>
      </c>
      <c r="B1246" t="str">
        <f t="shared" si="19"/>
        <v>25-34</v>
      </c>
      <c r="C1246" t="s">
        <v>21</v>
      </c>
      <c r="F1246" t="s">
        <v>22</v>
      </c>
      <c r="G1246">
        <v>1312</v>
      </c>
      <c r="H1246" t="s">
        <v>23</v>
      </c>
      <c r="I1246">
        <v>2</v>
      </c>
      <c r="J1246">
        <v>4</v>
      </c>
      <c r="K1246" t="s">
        <v>35</v>
      </c>
      <c r="L1246">
        <v>1</v>
      </c>
      <c r="M1246">
        <v>1745</v>
      </c>
      <c r="O1246">
        <v>4</v>
      </c>
      <c r="P1246">
        <v>1</v>
      </c>
      <c r="Q1246" t="s">
        <v>24</v>
      </c>
      <c r="R1246">
        <v>1</v>
      </c>
      <c r="S1246">
        <v>4968</v>
      </c>
      <c r="T1246" t="s">
        <v>21</v>
      </c>
    </row>
    <row r="1247" spans="1:20" x14ac:dyDescent="0.25">
      <c r="A1247">
        <v>24</v>
      </c>
      <c r="B1247" t="str">
        <f t="shared" si="19"/>
        <v>18-24</v>
      </c>
      <c r="C1247" t="s">
        <v>21</v>
      </c>
      <c r="F1247" t="s">
        <v>22</v>
      </c>
      <c r="G1247">
        <v>897</v>
      </c>
      <c r="H1247" t="s">
        <v>36</v>
      </c>
      <c r="I1247">
        <v>10</v>
      </c>
      <c r="J1247">
        <v>3</v>
      </c>
      <c r="K1247" t="s">
        <v>27</v>
      </c>
      <c r="L1247">
        <v>1</v>
      </c>
      <c r="M1247">
        <v>1746</v>
      </c>
      <c r="O1247">
        <v>1</v>
      </c>
      <c r="P1247">
        <v>1</v>
      </c>
      <c r="Q1247" t="s">
        <v>36</v>
      </c>
      <c r="R1247">
        <v>4</v>
      </c>
      <c r="S1247">
        <v>2145</v>
      </c>
      <c r="T1247" t="s">
        <v>21</v>
      </c>
    </row>
    <row r="1248" spans="1:20" x14ac:dyDescent="0.25">
      <c r="A1248">
        <v>30</v>
      </c>
      <c r="B1248" t="str">
        <f t="shared" si="19"/>
        <v>25-34</v>
      </c>
      <c r="C1248" t="s">
        <v>16</v>
      </c>
      <c r="F1248" t="s">
        <v>22</v>
      </c>
      <c r="G1248">
        <v>600</v>
      </c>
      <c r="H1248" t="s">
        <v>36</v>
      </c>
      <c r="I1248">
        <v>8</v>
      </c>
      <c r="J1248">
        <v>3</v>
      </c>
      <c r="K1248" t="s">
        <v>36</v>
      </c>
      <c r="L1248">
        <v>1</v>
      </c>
      <c r="M1248">
        <v>1747</v>
      </c>
      <c r="O1248">
        <v>3</v>
      </c>
      <c r="P1248">
        <v>1</v>
      </c>
      <c r="Q1248" t="s">
        <v>36</v>
      </c>
      <c r="R1248">
        <v>4</v>
      </c>
      <c r="S1248">
        <v>2180</v>
      </c>
      <c r="T1248" t="s">
        <v>21</v>
      </c>
    </row>
    <row r="1249" spans="1:20" x14ac:dyDescent="0.25">
      <c r="A1249">
        <v>31</v>
      </c>
      <c r="B1249" t="str">
        <f t="shared" si="19"/>
        <v>25-34</v>
      </c>
      <c r="C1249" t="s">
        <v>21</v>
      </c>
      <c r="F1249" t="s">
        <v>17</v>
      </c>
      <c r="G1249">
        <v>1003</v>
      </c>
      <c r="H1249" t="s">
        <v>18</v>
      </c>
      <c r="I1249">
        <v>5</v>
      </c>
      <c r="J1249">
        <v>3</v>
      </c>
      <c r="K1249" t="s">
        <v>35</v>
      </c>
      <c r="L1249">
        <v>1</v>
      </c>
      <c r="M1249">
        <v>1749</v>
      </c>
      <c r="O1249">
        <v>1</v>
      </c>
      <c r="P1249">
        <v>2</v>
      </c>
      <c r="Q1249" t="s">
        <v>20</v>
      </c>
      <c r="R1249">
        <v>3</v>
      </c>
      <c r="S1249">
        <v>8346</v>
      </c>
      <c r="T1249" t="s">
        <v>21</v>
      </c>
    </row>
    <row r="1250" spans="1:20" x14ac:dyDescent="0.25">
      <c r="A1250">
        <v>27</v>
      </c>
      <c r="B1250" t="str">
        <f t="shared" si="19"/>
        <v>25-34</v>
      </c>
      <c r="C1250" t="s">
        <v>21</v>
      </c>
      <c r="F1250" t="s">
        <v>17</v>
      </c>
      <c r="G1250">
        <v>1054</v>
      </c>
      <c r="H1250" t="s">
        <v>23</v>
      </c>
      <c r="I1250">
        <v>8</v>
      </c>
      <c r="J1250">
        <v>3</v>
      </c>
      <c r="K1250" t="s">
        <v>27</v>
      </c>
      <c r="L1250">
        <v>1</v>
      </c>
      <c r="M1250">
        <v>1751</v>
      </c>
      <c r="O1250">
        <v>3</v>
      </c>
      <c r="P1250">
        <v>1</v>
      </c>
      <c r="Q1250" t="s">
        <v>24</v>
      </c>
      <c r="R1250">
        <v>4</v>
      </c>
      <c r="S1250">
        <v>3445</v>
      </c>
      <c r="T1250" t="s">
        <v>21</v>
      </c>
    </row>
    <row r="1251" spans="1:20" x14ac:dyDescent="0.25">
      <c r="A1251">
        <v>29</v>
      </c>
      <c r="B1251" t="str">
        <f t="shared" si="19"/>
        <v>25-34</v>
      </c>
      <c r="C1251" t="s">
        <v>16</v>
      </c>
      <c r="F1251" t="s">
        <v>17</v>
      </c>
      <c r="G1251">
        <v>428</v>
      </c>
      <c r="H1251" t="s">
        <v>18</v>
      </c>
      <c r="I1251">
        <v>9</v>
      </c>
      <c r="J1251">
        <v>3</v>
      </c>
      <c r="K1251" t="s">
        <v>34</v>
      </c>
      <c r="L1251">
        <v>1</v>
      </c>
      <c r="M1251">
        <v>1752</v>
      </c>
      <c r="O1251">
        <v>2</v>
      </c>
      <c r="P1251">
        <v>1</v>
      </c>
      <c r="Q1251" t="s">
        <v>32</v>
      </c>
      <c r="R1251">
        <v>2</v>
      </c>
      <c r="S1251">
        <v>2760</v>
      </c>
      <c r="T1251" t="s">
        <v>21</v>
      </c>
    </row>
    <row r="1252" spans="1:20" x14ac:dyDescent="0.25">
      <c r="A1252">
        <v>29</v>
      </c>
      <c r="B1252" t="str">
        <f t="shared" si="19"/>
        <v>25-34</v>
      </c>
      <c r="C1252" t="s">
        <v>21</v>
      </c>
      <c r="F1252" t="s">
        <v>22</v>
      </c>
      <c r="G1252">
        <v>461</v>
      </c>
      <c r="H1252" t="s">
        <v>23</v>
      </c>
      <c r="I1252">
        <v>1</v>
      </c>
      <c r="J1252">
        <v>3</v>
      </c>
      <c r="K1252" t="s">
        <v>19</v>
      </c>
      <c r="L1252">
        <v>1</v>
      </c>
      <c r="M1252">
        <v>1753</v>
      </c>
      <c r="O1252">
        <v>4</v>
      </c>
      <c r="P1252">
        <v>2</v>
      </c>
      <c r="Q1252" t="s">
        <v>29</v>
      </c>
      <c r="R1252">
        <v>3</v>
      </c>
      <c r="S1252">
        <v>6294</v>
      </c>
      <c r="T1252" t="s">
        <v>16</v>
      </c>
    </row>
    <row r="1253" spans="1:20" x14ac:dyDescent="0.25">
      <c r="A1253">
        <v>30</v>
      </c>
      <c r="B1253" t="str">
        <f t="shared" si="19"/>
        <v>25-34</v>
      </c>
      <c r="C1253" t="s">
        <v>21</v>
      </c>
      <c r="F1253" t="s">
        <v>17</v>
      </c>
      <c r="G1253">
        <v>979</v>
      </c>
      <c r="H1253" t="s">
        <v>18</v>
      </c>
      <c r="I1253">
        <v>15</v>
      </c>
      <c r="J1253">
        <v>2</v>
      </c>
      <c r="K1253" t="s">
        <v>34</v>
      </c>
      <c r="L1253">
        <v>1</v>
      </c>
      <c r="M1253">
        <v>1754</v>
      </c>
      <c r="O1253">
        <v>3</v>
      </c>
      <c r="P1253">
        <v>3</v>
      </c>
      <c r="Q1253" t="s">
        <v>20</v>
      </c>
      <c r="R1253">
        <v>1</v>
      </c>
      <c r="S1253">
        <v>7140</v>
      </c>
      <c r="T1253" t="s">
        <v>21</v>
      </c>
    </row>
    <row r="1254" spans="1:20" x14ac:dyDescent="0.25">
      <c r="A1254">
        <v>34</v>
      </c>
      <c r="B1254" t="str">
        <f t="shared" si="19"/>
        <v>25-34</v>
      </c>
      <c r="C1254" t="s">
        <v>21</v>
      </c>
      <c r="F1254" t="s">
        <v>17</v>
      </c>
      <c r="G1254">
        <v>181</v>
      </c>
      <c r="H1254" t="s">
        <v>23</v>
      </c>
      <c r="I1254">
        <v>2</v>
      </c>
      <c r="J1254">
        <v>4</v>
      </c>
      <c r="K1254" t="s">
        <v>27</v>
      </c>
      <c r="L1254">
        <v>1</v>
      </c>
      <c r="M1254">
        <v>1755</v>
      </c>
      <c r="O1254">
        <v>4</v>
      </c>
      <c r="P1254">
        <v>1</v>
      </c>
      <c r="Q1254" t="s">
        <v>24</v>
      </c>
      <c r="R1254">
        <v>4</v>
      </c>
      <c r="S1254">
        <v>2932</v>
      </c>
      <c r="T1254" t="s">
        <v>16</v>
      </c>
    </row>
    <row r="1255" spans="1:20" x14ac:dyDescent="0.25">
      <c r="A1255">
        <v>33</v>
      </c>
      <c r="B1255" t="str">
        <f t="shared" si="19"/>
        <v>25-34</v>
      </c>
      <c r="C1255" t="s">
        <v>21</v>
      </c>
      <c r="F1255" t="s">
        <v>30</v>
      </c>
      <c r="G1255">
        <v>1283</v>
      </c>
      <c r="H1255" t="s">
        <v>18</v>
      </c>
      <c r="I1255">
        <v>2</v>
      </c>
      <c r="J1255">
        <v>3</v>
      </c>
      <c r="K1255" t="s">
        <v>34</v>
      </c>
      <c r="L1255">
        <v>1</v>
      </c>
      <c r="M1255">
        <v>1756</v>
      </c>
      <c r="O1255">
        <v>4</v>
      </c>
      <c r="P1255">
        <v>2</v>
      </c>
      <c r="Q1255" t="s">
        <v>20</v>
      </c>
      <c r="R1255">
        <v>2</v>
      </c>
      <c r="S1255">
        <v>5147</v>
      </c>
      <c r="T1255" t="s">
        <v>21</v>
      </c>
    </row>
    <row r="1256" spans="1:20" x14ac:dyDescent="0.25">
      <c r="A1256">
        <v>49</v>
      </c>
      <c r="B1256" t="str">
        <f t="shared" si="19"/>
        <v>45-54</v>
      </c>
      <c r="C1256" t="s">
        <v>21</v>
      </c>
      <c r="F1256" t="s">
        <v>17</v>
      </c>
      <c r="G1256">
        <v>1313</v>
      </c>
      <c r="H1256" t="s">
        <v>18</v>
      </c>
      <c r="I1256">
        <v>11</v>
      </c>
      <c r="J1256">
        <v>4</v>
      </c>
      <c r="K1256" t="s">
        <v>34</v>
      </c>
      <c r="L1256">
        <v>1</v>
      </c>
      <c r="M1256">
        <v>1757</v>
      </c>
      <c r="O1256">
        <v>4</v>
      </c>
      <c r="P1256">
        <v>2</v>
      </c>
      <c r="Q1256" t="s">
        <v>20</v>
      </c>
      <c r="R1256">
        <v>4</v>
      </c>
      <c r="S1256">
        <v>4507</v>
      </c>
      <c r="T1256" t="s">
        <v>21</v>
      </c>
    </row>
    <row r="1257" spans="1:20" x14ac:dyDescent="0.25">
      <c r="A1257">
        <v>33</v>
      </c>
      <c r="B1257" t="str">
        <f t="shared" si="19"/>
        <v>25-34</v>
      </c>
      <c r="C1257" t="s">
        <v>16</v>
      </c>
      <c r="F1257" t="s">
        <v>17</v>
      </c>
      <c r="G1257">
        <v>211</v>
      </c>
      <c r="H1257" t="s">
        <v>18</v>
      </c>
      <c r="I1257">
        <v>16</v>
      </c>
      <c r="J1257">
        <v>3</v>
      </c>
      <c r="K1257" t="s">
        <v>19</v>
      </c>
      <c r="L1257">
        <v>1</v>
      </c>
      <c r="M1257">
        <v>1758</v>
      </c>
      <c r="O1257">
        <v>1</v>
      </c>
      <c r="P1257">
        <v>3</v>
      </c>
      <c r="Q1257" t="s">
        <v>20</v>
      </c>
      <c r="R1257">
        <v>1</v>
      </c>
      <c r="S1257">
        <v>8564</v>
      </c>
      <c r="T1257" t="s">
        <v>16</v>
      </c>
    </row>
    <row r="1258" spans="1:20" x14ac:dyDescent="0.25">
      <c r="A1258">
        <v>38</v>
      </c>
      <c r="B1258" t="str">
        <f t="shared" si="19"/>
        <v>35-44</v>
      </c>
      <c r="C1258" t="s">
        <v>21</v>
      </c>
      <c r="F1258" t="s">
        <v>22</v>
      </c>
      <c r="G1258">
        <v>594</v>
      </c>
      <c r="H1258" t="s">
        <v>23</v>
      </c>
      <c r="I1258">
        <v>2</v>
      </c>
      <c r="J1258">
        <v>2</v>
      </c>
      <c r="K1258" t="s">
        <v>27</v>
      </c>
      <c r="L1258">
        <v>1</v>
      </c>
      <c r="M1258">
        <v>1760</v>
      </c>
      <c r="O1258">
        <v>3</v>
      </c>
      <c r="P1258">
        <v>1</v>
      </c>
      <c r="Q1258" t="s">
        <v>26</v>
      </c>
      <c r="R1258">
        <v>2</v>
      </c>
      <c r="S1258">
        <v>2468</v>
      </c>
      <c r="T1258" t="s">
        <v>21</v>
      </c>
    </row>
    <row r="1259" spans="1:20" x14ac:dyDescent="0.25">
      <c r="A1259">
        <v>31</v>
      </c>
      <c r="B1259" t="str">
        <f t="shared" si="19"/>
        <v>25-34</v>
      </c>
      <c r="C1259" t="s">
        <v>16</v>
      </c>
      <c r="F1259" t="s">
        <v>17</v>
      </c>
      <c r="G1259">
        <v>1079</v>
      </c>
      <c r="H1259" t="s">
        <v>18</v>
      </c>
      <c r="I1259">
        <v>16</v>
      </c>
      <c r="J1259">
        <v>4</v>
      </c>
      <c r="K1259" t="s">
        <v>34</v>
      </c>
      <c r="L1259">
        <v>1</v>
      </c>
      <c r="M1259">
        <v>1761</v>
      </c>
      <c r="O1259">
        <v>1</v>
      </c>
      <c r="P1259">
        <v>3</v>
      </c>
      <c r="Q1259" t="s">
        <v>20</v>
      </c>
      <c r="R1259">
        <v>3</v>
      </c>
      <c r="S1259">
        <v>8161</v>
      </c>
      <c r="T1259" t="s">
        <v>21</v>
      </c>
    </row>
    <row r="1260" spans="1:20" x14ac:dyDescent="0.25">
      <c r="A1260">
        <v>29</v>
      </c>
      <c r="B1260" t="str">
        <f t="shared" si="19"/>
        <v>25-34</v>
      </c>
      <c r="C1260" t="s">
        <v>21</v>
      </c>
      <c r="F1260" t="s">
        <v>17</v>
      </c>
      <c r="G1260">
        <v>590</v>
      </c>
      <c r="H1260" t="s">
        <v>23</v>
      </c>
      <c r="I1260">
        <v>4</v>
      </c>
      <c r="J1260">
        <v>3</v>
      </c>
      <c r="K1260" t="s">
        <v>35</v>
      </c>
      <c r="L1260">
        <v>1</v>
      </c>
      <c r="M1260">
        <v>1762</v>
      </c>
      <c r="O1260">
        <v>4</v>
      </c>
      <c r="P1260">
        <v>1</v>
      </c>
      <c r="Q1260" t="s">
        <v>24</v>
      </c>
      <c r="R1260">
        <v>1</v>
      </c>
      <c r="S1260">
        <v>2109</v>
      </c>
      <c r="T1260" t="s">
        <v>21</v>
      </c>
    </row>
    <row r="1261" spans="1:20" x14ac:dyDescent="0.25">
      <c r="A1261">
        <v>30</v>
      </c>
      <c r="B1261" t="str">
        <f t="shared" si="19"/>
        <v>25-34</v>
      </c>
      <c r="C1261" t="s">
        <v>21</v>
      </c>
      <c r="F1261" t="s">
        <v>17</v>
      </c>
      <c r="G1261">
        <v>305</v>
      </c>
      <c r="H1261" t="s">
        <v>23</v>
      </c>
      <c r="I1261">
        <v>16</v>
      </c>
      <c r="J1261">
        <v>3</v>
      </c>
      <c r="K1261" t="s">
        <v>19</v>
      </c>
      <c r="L1261">
        <v>1</v>
      </c>
      <c r="M1261">
        <v>1763</v>
      </c>
      <c r="O1261">
        <v>3</v>
      </c>
      <c r="P1261">
        <v>2</v>
      </c>
      <c r="Q1261" t="s">
        <v>29</v>
      </c>
      <c r="R1261">
        <v>3</v>
      </c>
      <c r="S1261">
        <v>5294</v>
      </c>
      <c r="T1261" t="s">
        <v>21</v>
      </c>
    </row>
    <row r="1262" spans="1:20" x14ac:dyDescent="0.25">
      <c r="A1262">
        <v>32</v>
      </c>
      <c r="B1262" t="str">
        <f t="shared" si="19"/>
        <v>25-34</v>
      </c>
      <c r="C1262" t="s">
        <v>21</v>
      </c>
      <c r="F1262" t="s">
        <v>30</v>
      </c>
      <c r="G1262">
        <v>953</v>
      </c>
      <c r="H1262" t="s">
        <v>23</v>
      </c>
      <c r="I1262">
        <v>5</v>
      </c>
      <c r="J1262">
        <v>4</v>
      </c>
      <c r="K1262" t="s">
        <v>35</v>
      </c>
      <c r="L1262">
        <v>1</v>
      </c>
      <c r="M1262">
        <v>1764</v>
      </c>
      <c r="O1262">
        <v>2</v>
      </c>
      <c r="P1262">
        <v>1</v>
      </c>
      <c r="Q1262" t="s">
        <v>24</v>
      </c>
      <c r="R1262">
        <v>2</v>
      </c>
      <c r="S1262">
        <v>2718</v>
      </c>
      <c r="T1262" t="s">
        <v>21</v>
      </c>
    </row>
    <row r="1263" spans="1:20" x14ac:dyDescent="0.25">
      <c r="A1263">
        <v>38</v>
      </c>
      <c r="B1263" t="str">
        <f t="shared" si="19"/>
        <v>35-44</v>
      </c>
      <c r="C1263" t="s">
        <v>21</v>
      </c>
      <c r="F1263" t="s">
        <v>17</v>
      </c>
      <c r="G1263">
        <v>833</v>
      </c>
      <c r="H1263" t="s">
        <v>23</v>
      </c>
      <c r="I1263">
        <v>18</v>
      </c>
      <c r="J1263">
        <v>3</v>
      </c>
      <c r="K1263" t="s">
        <v>27</v>
      </c>
      <c r="L1263">
        <v>1</v>
      </c>
      <c r="M1263">
        <v>1766</v>
      </c>
      <c r="O1263">
        <v>2</v>
      </c>
      <c r="P1263">
        <v>2</v>
      </c>
      <c r="Q1263" t="s">
        <v>29</v>
      </c>
      <c r="R1263">
        <v>4</v>
      </c>
      <c r="S1263">
        <v>5811</v>
      </c>
      <c r="T1263" t="s">
        <v>16</v>
      </c>
    </row>
    <row r="1264" spans="1:20" x14ac:dyDescent="0.25">
      <c r="A1264">
        <v>43</v>
      </c>
      <c r="B1264" t="str">
        <f t="shared" si="19"/>
        <v>35-44</v>
      </c>
      <c r="C1264" t="s">
        <v>16</v>
      </c>
      <c r="F1264" t="s">
        <v>22</v>
      </c>
      <c r="G1264">
        <v>807</v>
      </c>
      <c r="H1264" t="s">
        <v>23</v>
      </c>
      <c r="I1264">
        <v>17</v>
      </c>
      <c r="J1264">
        <v>3</v>
      </c>
      <c r="K1264" t="s">
        <v>35</v>
      </c>
      <c r="L1264">
        <v>1</v>
      </c>
      <c r="M1264">
        <v>1767</v>
      </c>
      <c r="O1264">
        <v>3</v>
      </c>
      <c r="P1264">
        <v>1</v>
      </c>
      <c r="Q1264" t="s">
        <v>24</v>
      </c>
      <c r="R1264">
        <v>3</v>
      </c>
      <c r="S1264">
        <v>2437</v>
      </c>
      <c r="T1264" t="s">
        <v>16</v>
      </c>
    </row>
    <row r="1265" spans="1:20" x14ac:dyDescent="0.25">
      <c r="A1265">
        <v>42</v>
      </c>
      <c r="B1265" t="str">
        <f t="shared" si="19"/>
        <v>35-44</v>
      </c>
      <c r="C1265" t="s">
        <v>21</v>
      </c>
      <c r="F1265" t="s">
        <v>17</v>
      </c>
      <c r="G1265">
        <v>855</v>
      </c>
      <c r="H1265" t="s">
        <v>23</v>
      </c>
      <c r="I1265">
        <v>12</v>
      </c>
      <c r="J1265">
        <v>3</v>
      </c>
      <c r="K1265" t="s">
        <v>27</v>
      </c>
      <c r="L1265">
        <v>1</v>
      </c>
      <c r="M1265">
        <v>1768</v>
      </c>
      <c r="O1265">
        <v>2</v>
      </c>
      <c r="P1265">
        <v>1</v>
      </c>
      <c r="Q1265" t="s">
        <v>26</v>
      </c>
      <c r="R1265">
        <v>2</v>
      </c>
      <c r="S1265">
        <v>2766</v>
      </c>
      <c r="T1265" t="s">
        <v>21</v>
      </c>
    </row>
    <row r="1266" spans="1:20" x14ac:dyDescent="0.25">
      <c r="A1266">
        <v>55</v>
      </c>
      <c r="B1266" t="str">
        <f t="shared" si="19"/>
        <v>55+</v>
      </c>
      <c r="C1266" t="s">
        <v>21</v>
      </c>
      <c r="F1266" t="s">
        <v>17</v>
      </c>
      <c r="G1266">
        <v>478</v>
      </c>
      <c r="H1266" t="s">
        <v>23</v>
      </c>
      <c r="I1266">
        <v>2</v>
      </c>
      <c r="J1266">
        <v>3</v>
      </c>
      <c r="K1266" t="s">
        <v>27</v>
      </c>
      <c r="L1266">
        <v>1</v>
      </c>
      <c r="M1266">
        <v>1770</v>
      </c>
      <c r="O1266">
        <v>3</v>
      </c>
      <c r="P1266">
        <v>5</v>
      </c>
      <c r="Q1266" t="s">
        <v>33</v>
      </c>
      <c r="R1266">
        <v>1</v>
      </c>
      <c r="S1266">
        <v>19038</v>
      </c>
      <c r="T1266" t="s">
        <v>21</v>
      </c>
    </row>
    <row r="1267" spans="1:20" x14ac:dyDescent="0.25">
      <c r="A1267">
        <v>33</v>
      </c>
      <c r="B1267" t="str">
        <f t="shared" si="19"/>
        <v>25-34</v>
      </c>
      <c r="C1267" t="s">
        <v>21</v>
      </c>
      <c r="F1267" t="s">
        <v>30</v>
      </c>
      <c r="G1267">
        <v>775</v>
      </c>
      <c r="H1267" t="s">
        <v>23</v>
      </c>
      <c r="I1267">
        <v>4</v>
      </c>
      <c r="J1267">
        <v>3</v>
      </c>
      <c r="K1267" t="s">
        <v>35</v>
      </c>
      <c r="L1267">
        <v>1</v>
      </c>
      <c r="M1267">
        <v>1771</v>
      </c>
      <c r="O1267">
        <v>4</v>
      </c>
      <c r="P1267">
        <v>2</v>
      </c>
      <c r="Q1267" t="s">
        <v>24</v>
      </c>
      <c r="R1267">
        <v>2</v>
      </c>
      <c r="S1267">
        <v>3055</v>
      </c>
      <c r="T1267" t="s">
        <v>21</v>
      </c>
    </row>
    <row r="1268" spans="1:20" x14ac:dyDescent="0.25">
      <c r="A1268">
        <v>41</v>
      </c>
      <c r="B1268" t="str">
        <f t="shared" si="19"/>
        <v>35-44</v>
      </c>
      <c r="C1268" t="s">
        <v>21</v>
      </c>
      <c r="F1268" t="s">
        <v>17</v>
      </c>
      <c r="G1268">
        <v>548</v>
      </c>
      <c r="H1268" t="s">
        <v>23</v>
      </c>
      <c r="I1268">
        <v>9</v>
      </c>
      <c r="J1268">
        <v>4</v>
      </c>
      <c r="K1268" t="s">
        <v>19</v>
      </c>
      <c r="L1268">
        <v>1</v>
      </c>
      <c r="M1268">
        <v>1772</v>
      </c>
      <c r="O1268">
        <v>3</v>
      </c>
      <c r="P1268">
        <v>1</v>
      </c>
      <c r="Q1268" t="s">
        <v>26</v>
      </c>
      <c r="R1268">
        <v>1</v>
      </c>
      <c r="S1268">
        <v>2289</v>
      </c>
      <c r="T1268" t="s">
        <v>21</v>
      </c>
    </row>
    <row r="1269" spans="1:20" x14ac:dyDescent="0.25">
      <c r="A1269">
        <v>34</v>
      </c>
      <c r="B1269" t="str">
        <f t="shared" si="19"/>
        <v>25-34</v>
      </c>
      <c r="C1269" t="s">
        <v>21</v>
      </c>
      <c r="F1269" t="s">
        <v>30</v>
      </c>
      <c r="G1269">
        <v>1375</v>
      </c>
      <c r="H1269" t="s">
        <v>18</v>
      </c>
      <c r="I1269">
        <v>10</v>
      </c>
      <c r="J1269">
        <v>3</v>
      </c>
      <c r="K1269" t="s">
        <v>19</v>
      </c>
      <c r="L1269">
        <v>1</v>
      </c>
      <c r="M1269">
        <v>1774</v>
      </c>
      <c r="O1269">
        <v>4</v>
      </c>
      <c r="P1269">
        <v>2</v>
      </c>
      <c r="Q1269" t="s">
        <v>20</v>
      </c>
      <c r="R1269">
        <v>3</v>
      </c>
      <c r="S1269">
        <v>4001</v>
      </c>
      <c r="T1269" t="s">
        <v>16</v>
      </c>
    </row>
    <row r="1270" spans="1:20" x14ac:dyDescent="0.25">
      <c r="A1270">
        <v>53</v>
      </c>
      <c r="B1270" t="str">
        <f t="shared" si="19"/>
        <v>45-54</v>
      </c>
      <c r="C1270" t="s">
        <v>21</v>
      </c>
      <c r="F1270" t="s">
        <v>30</v>
      </c>
      <c r="G1270">
        <v>661</v>
      </c>
      <c r="H1270" t="s">
        <v>23</v>
      </c>
      <c r="I1270">
        <v>1</v>
      </c>
      <c r="J1270">
        <v>4</v>
      </c>
      <c r="K1270" t="s">
        <v>27</v>
      </c>
      <c r="L1270">
        <v>1</v>
      </c>
      <c r="M1270">
        <v>1775</v>
      </c>
      <c r="O1270">
        <v>1</v>
      </c>
      <c r="P1270">
        <v>4</v>
      </c>
      <c r="Q1270" t="s">
        <v>28</v>
      </c>
      <c r="R1270">
        <v>3</v>
      </c>
      <c r="S1270">
        <v>12965</v>
      </c>
      <c r="T1270" t="s">
        <v>16</v>
      </c>
    </row>
    <row r="1271" spans="1:20" x14ac:dyDescent="0.25">
      <c r="A1271">
        <v>43</v>
      </c>
      <c r="B1271" t="str">
        <f t="shared" si="19"/>
        <v>35-44</v>
      </c>
      <c r="C1271" t="s">
        <v>21</v>
      </c>
      <c r="F1271" t="s">
        <v>17</v>
      </c>
      <c r="G1271">
        <v>244</v>
      </c>
      <c r="H1271" t="s">
        <v>36</v>
      </c>
      <c r="I1271">
        <v>2</v>
      </c>
      <c r="J1271">
        <v>3</v>
      </c>
      <c r="K1271" t="s">
        <v>19</v>
      </c>
      <c r="L1271">
        <v>1</v>
      </c>
      <c r="M1271">
        <v>1778</v>
      </c>
      <c r="O1271">
        <v>2</v>
      </c>
      <c r="P1271">
        <v>1</v>
      </c>
      <c r="Q1271" t="s">
        <v>36</v>
      </c>
      <c r="R1271">
        <v>4</v>
      </c>
      <c r="S1271">
        <v>3539</v>
      </c>
      <c r="T1271" t="s">
        <v>21</v>
      </c>
    </row>
    <row r="1272" spans="1:20" x14ac:dyDescent="0.25">
      <c r="A1272">
        <v>34</v>
      </c>
      <c r="B1272" t="str">
        <f t="shared" si="19"/>
        <v>25-34</v>
      </c>
      <c r="C1272" t="s">
        <v>21</v>
      </c>
      <c r="F1272" t="s">
        <v>17</v>
      </c>
      <c r="G1272">
        <v>511</v>
      </c>
      <c r="H1272" t="s">
        <v>18</v>
      </c>
      <c r="I1272">
        <v>3</v>
      </c>
      <c r="J1272">
        <v>2</v>
      </c>
      <c r="K1272" t="s">
        <v>19</v>
      </c>
      <c r="L1272">
        <v>1</v>
      </c>
      <c r="M1272">
        <v>1779</v>
      </c>
      <c r="O1272">
        <v>4</v>
      </c>
      <c r="P1272">
        <v>2</v>
      </c>
      <c r="Q1272" t="s">
        <v>20</v>
      </c>
      <c r="R1272">
        <v>4</v>
      </c>
      <c r="S1272">
        <v>6029</v>
      </c>
      <c r="T1272" t="s">
        <v>21</v>
      </c>
    </row>
    <row r="1273" spans="1:20" x14ac:dyDescent="0.25">
      <c r="A1273">
        <v>21</v>
      </c>
      <c r="B1273" t="str">
        <f t="shared" si="19"/>
        <v>18-24</v>
      </c>
      <c r="C1273" t="s">
        <v>16</v>
      </c>
      <c r="F1273" t="s">
        <v>17</v>
      </c>
      <c r="G1273">
        <v>337</v>
      </c>
      <c r="H1273" t="s">
        <v>18</v>
      </c>
      <c r="I1273">
        <v>7</v>
      </c>
      <c r="J1273">
        <v>1</v>
      </c>
      <c r="K1273" t="s">
        <v>34</v>
      </c>
      <c r="L1273">
        <v>1</v>
      </c>
      <c r="M1273">
        <v>1780</v>
      </c>
      <c r="O1273">
        <v>2</v>
      </c>
      <c r="P1273">
        <v>1</v>
      </c>
      <c r="Q1273" t="s">
        <v>32</v>
      </c>
      <c r="R1273">
        <v>2</v>
      </c>
      <c r="S1273">
        <v>2679</v>
      </c>
      <c r="T1273" t="s">
        <v>21</v>
      </c>
    </row>
    <row r="1274" spans="1:20" x14ac:dyDescent="0.25">
      <c r="A1274">
        <v>38</v>
      </c>
      <c r="B1274" t="str">
        <f t="shared" si="19"/>
        <v>35-44</v>
      </c>
      <c r="C1274" t="s">
        <v>21</v>
      </c>
      <c r="F1274" t="s">
        <v>17</v>
      </c>
      <c r="G1274">
        <v>1153</v>
      </c>
      <c r="H1274" t="s">
        <v>23</v>
      </c>
      <c r="I1274">
        <v>6</v>
      </c>
      <c r="J1274">
        <v>2</v>
      </c>
      <c r="K1274" t="s">
        <v>25</v>
      </c>
      <c r="L1274">
        <v>1</v>
      </c>
      <c r="M1274">
        <v>1782</v>
      </c>
      <c r="O1274">
        <v>4</v>
      </c>
      <c r="P1274">
        <v>1</v>
      </c>
      <c r="Q1274" t="s">
        <v>26</v>
      </c>
      <c r="R1274">
        <v>3</v>
      </c>
      <c r="S1274">
        <v>3702</v>
      </c>
      <c r="T1274" t="s">
        <v>21</v>
      </c>
    </row>
    <row r="1275" spans="1:20" x14ac:dyDescent="0.25">
      <c r="A1275">
        <v>22</v>
      </c>
      <c r="B1275" t="str">
        <f t="shared" si="19"/>
        <v>18-24</v>
      </c>
      <c r="C1275" t="s">
        <v>16</v>
      </c>
      <c r="F1275" t="s">
        <v>17</v>
      </c>
      <c r="G1275">
        <v>1294</v>
      </c>
      <c r="H1275" t="s">
        <v>23</v>
      </c>
      <c r="I1275">
        <v>8</v>
      </c>
      <c r="J1275">
        <v>1</v>
      </c>
      <c r="K1275" t="s">
        <v>27</v>
      </c>
      <c r="L1275">
        <v>1</v>
      </c>
      <c r="M1275">
        <v>1783</v>
      </c>
      <c r="O1275">
        <v>3</v>
      </c>
      <c r="P1275">
        <v>1</v>
      </c>
      <c r="Q1275" t="s">
        <v>26</v>
      </c>
      <c r="R1275">
        <v>1</v>
      </c>
      <c r="S1275">
        <v>2398</v>
      </c>
      <c r="T1275" t="s">
        <v>16</v>
      </c>
    </row>
    <row r="1276" spans="1:20" x14ac:dyDescent="0.25">
      <c r="A1276">
        <v>31</v>
      </c>
      <c r="B1276" t="str">
        <f t="shared" si="19"/>
        <v>25-34</v>
      </c>
      <c r="C1276" t="s">
        <v>21</v>
      </c>
      <c r="F1276" t="s">
        <v>17</v>
      </c>
      <c r="G1276">
        <v>196</v>
      </c>
      <c r="H1276" t="s">
        <v>18</v>
      </c>
      <c r="I1276">
        <v>29</v>
      </c>
      <c r="J1276">
        <v>4</v>
      </c>
      <c r="K1276" t="s">
        <v>34</v>
      </c>
      <c r="L1276">
        <v>1</v>
      </c>
      <c r="M1276">
        <v>1784</v>
      </c>
      <c r="O1276">
        <v>1</v>
      </c>
      <c r="P1276">
        <v>2</v>
      </c>
      <c r="Q1276" t="s">
        <v>20</v>
      </c>
      <c r="R1276">
        <v>4</v>
      </c>
      <c r="S1276">
        <v>5468</v>
      </c>
      <c r="T1276" t="s">
        <v>21</v>
      </c>
    </row>
    <row r="1277" spans="1:20" x14ac:dyDescent="0.25">
      <c r="A1277">
        <v>51</v>
      </c>
      <c r="B1277" t="str">
        <f t="shared" si="19"/>
        <v>45-54</v>
      </c>
      <c r="C1277" t="s">
        <v>21</v>
      </c>
      <c r="F1277" t="s">
        <v>17</v>
      </c>
      <c r="G1277">
        <v>942</v>
      </c>
      <c r="H1277" t="s">
        <v>23</v>
      </c>
      <c r="I1277">
        <v>3</v>
      </c>
      <c r="J1277">
        <v>3</v>
      </c>
      <c r="K1277" t="s">
        <v>35</v>
      </c>
      <c r="L1277">
        <v>1</v>
      </c>
      <c r="M1277">
        <v>1786</v>
      </c>
      <c r="O1277">
        <v>1</v>
      </c>
      <c r="P1277">
        <v>3</v>
      </c>
      <c r="Q1277" t="s">
        <v>31</v>
      </c>
      <c r="R1277">
        <v>3</v>
      </c>
      <c r="S1277">
        <v>13116</v>
      </c>
      <c r="T1277" t="s">
        <v>21</v>
      </c>
    </row>
    <row r="1278" spans="1:20" x14ac:dyDescent="0.25">
      <c r="A1278">
        <v>37</v>
      </c>
      <c r="B1278" t="str">
        <f t="shared" si="19"/>
        <v>35-44</v>
      </c>
      <c r="C1278" t="s">
        <v>21</v>
      </c>
      <c r="F1278" t="s">
        <v>17</v>
      </c>
      <c r="G1278">
        <v>589</v>
      </c>
      <c r="H1278" t="s">
        <v>18</v>
      </c>
      <c r="I1278">
        <v>9</v>
      </c>
      <c r="J1278">
        <v>2</v>
      </c>
      <c r="K1278" t="s">
        <v>34</v>
      </c>
      <c r="L1278">
        <v>1</v>
      </c>
      <c r="M1278">
        <v>1787</v>
      </c>
      <c r="O1278">
        <v>2</v>
      </c>
      <c r="P1278">
        <v>2</v>
      </c>
      <c r="Q1278" t="s">
        <v>20</v>
      </c>
      <c r="R1278">
        <v>2</v>
      </c>
      <c r="S1278">
        <v>4189</v>
      </c>
      <c r="T1278" t="s">
        <v>21</v>
      </c>
    </row>
    <row r="1279" spans="1:20" x14ac:dyDescent="0.25">
      <c r="A1279">
        <v>46</v>
      </c>
      <c r="B1279" t="str">
        <f t="shared" si="19"/>
        <v>45-54</v>
      </c>
      <c r="C1279" t="s">
        <v>21</v>
      </c>
      <c r="F1279" t="s">
        <v>17</v>
      </c>
      <c r="G1279">
        <v>734</v>
      </c>
      <c r="H1279" t="s">
        <v>23</v>
      </c>
      <c r="I1279">
        <v>2</v>
      </c>
      <c r="J1279">
        <v>4</v>
      </c>
      <c r="K1279" t="s">
        <v>27</v>
      </c>
      <c r="L1279">
        <v>1</v>
      </c>
      <c r="M1279">
        <v>1789</v>
      </c>
      <c r="O1279">
        <v>3</v>
      </c>
      <c r="P1279">
        <v>5</v>
      </c>
      <c r="Q1279" t="s">
        <v>33</v>
      </c>
      <c r="R1279">
        <v>4</v>
      </c>
      <c r="S1279">
        <v>19328</v>
      </c>
      <c r="T1279" t="s">
        <v>16</v>
      </c>
    </row>
    <row r="1280" spans="1:20" x14ac:dyDescent="0.25">
      <c r="A1280">
        <v>36</v>
      </c>
      <c r="B1280" t="str">
        <f t="shared" si="19"/>
        <v>35-44</v>
      </c>
      <c r="C1280" t="s">
        <v>21</v>
      </c>
      <c r="F1280" t="s">
        <v>17</v>
      </c>
      <c r="G1280">
        <v>1383</v>
      </c>
      <c r="H1280" t="s">
        <v>23</v>
      </c>
      <c r="I1280">
        <v>10</v>
      </c>
      <c r="J1280">
        <v>3</v>
      </c>
      <c r="K1280" t="s">
        <v>19</v>
      </c>
      <c r="L1280">
        <v>1</v>
      </c>
      <c r="M1280">
        <v>1790</v>
      </c>
      <c r="O1280">
        <v>4</v>
      </c>
      <c r="P1280">
        <v>3</v>
      </c>
      <c r="Q1280" t="s">
        <v>29</v>
      </c>
      <c r="R1280">
        <v>1</v>
      </c>
      <c r="S1280">
        <v>8321</v>
      </c>
      <c r="T1280" t="s">
        <v>16</v>
      </c>
    </row>
    <row r="1281" spans="1:20" x14ac:dyDescent="0.25">
      <c r="A1281">
        <v>44</v>
      </c>
      <c r="B1281" t="str">
        <f t="shared" si="19"/>
        <v>35-44</v>
      </c>
      <c r="C1281" t="s">
        <v>16</v>
      </c>
      <c r="F1281" t="s">
        <v>22</v>
      </c>
      <c r="G1281">
        <v>429</v>
      </c>
      <c r="H1281" t="s">
        <v>23</v>
      </c>
      <c r="I1281">
        <v>1</v>
      </c>
      <c r="J1281">
        <v>2</v>
      </c>
      <c r="K1281" t="s">
        <v>27</v>
      </c>
      <c r="L1281">
        <v>1</v>
      </c>
      <c r="M1281">
        <v>1792</v>
      </c>
      <c r="O1281">
        <v>3</v>
      </c>
      <c r="P1281">
        <v>1</v>
      </c>
      <c r="Q1281" t="s">
        <v>24</v>
      </c>
      <c r="R1281">
        <v>2</v>
      </c>
      <c r="S1281">
        <v>2342</v>
      </c>
      <c r="T1281" t="s">
        <v>16</v>
      </c>
    </row>
    <row r="1282" spans="1:20" x14ac:dyDescent="0.25">
      <c r="A1282">
        <v>37</v>
      </c>
      <c r="B1282" t="str">
        <f t="shared" si="19"/>
        <v>35-44</v>
      </c>
      <c r="C1282" t="s">
        <v>21</v>
      </c>
      <c r="F1282" t="s">
        <v>17</v>
      </c>
      <c r="G1282">
        <v>1239</v>
      </c>
      <c r="H1282" t="s">
        <v>36</v>
      </c>
      <c r="I1282">
        <v>8</v>
      </c>
      <c r="J1282">
        <v>2</v>
      </c>
      <c r="K1282" t="s">
        <v>25</v>
      </c>
      <c r="L1282">
        <v>1</v>
      </c>
      <c r="M1282">
        <v>1794</v>
      </c>
      <c r="O1282">
        <v>3</v>
      </c>
      <c r="P1282">
        <v>2</v>
      </c>
      <c r="Q1282" t="s">
        <v>36</v>
      </c>
      <c r="R1282">
        <v>2</v>
      </c>
      <c r="S1282">
        <v>4071</v>
      </c>
      <c r="T1282" t="s">
        <v>21</v>
      </c>
    </row>
    <row r="1283" spans="1:20" x14ac:dyDescent="0.25">
      <c r="A1283">
        <v>35</v>
      </c>
      <c r="B1283" t="str">
        <f t="shared" ref="B1283:B1346" si="20">IF(A1283&lt;=24,"18-24",IF(A1283&lt;=34,"25-34",IF(A1283&lt;=44,"35-44",IF(A1283&lt;=54,"45-54","55+"))))</f>
        <v>35-44</v>
      </c>
      <c r="C1283" t="s">
        <v>16</v>
      </c>
      <c r="F1283" t="s">
        <v>17</v>
      </c>
      <c r="G1283">
        <v>303</v>
      </c>
      <c r="H1283" t="s">
        <v>18</v>
      </c>
      <c r="I1283">
        <v>27</v>
      </c>
      <c r="J1283">
        <v>3</v>
      </c>
      <c r="K1283" t="s">
        <v>19</v>
      </c>
      <c r="L1283">
        <v>1</v>
      </c>
      <c r="M1283">
        <v>1797</v>
      </c>
      <c r="O1283">
        <v>3</v>
      </c>
      <c r="P1283">
        <v>2</v>
      </c>
      <c r="Q1283" t="s">
        <v>20</v>
      </c>
      <c r="R1283">
        <v>4</v>
      </c>
      <c r="S1283">
        <v>5813</v>
      </c>
      <c r="T1283" t="s">
        <v>16</v>
      </c>
    </row>
    <row r="1284" spans="1:20" x14ac:dyDescent="0.25">
      <c r="A1284">
        <v>33</v>
      </c>
      <c r="B1284" t="str">
        <f t="shared" si="20"/>
        <v>25-34</v>
      </c>
      <c r="C1284" t="s">
        <v>21</v>
      </c>
      <c r="F1284" t="s">
        <v>17</v>
      </c>
      <c r="G1284">
        <v>867</v>
      </c>
      <c r="H1284" t="s">
        <v>23</v>
      </c>
      <c r="I1284">
        <v>8</v>
      </c>
      <c r="J1284">
        <v>4</v>
      </c>
      <c r="K1284" t="s">
        <v>19</v>
      </c>
      <c r="L1284">
        <v>1</v>
      </c>
      <c r="M1284">
        <v>1798</v>
      </c>
      <c r="O1284">
        <v>4</v>
      </c>
      <c r="P1284">
        <v>1</v>
      </c>
      <c r="Q1284" t="s">
        <v>24</v>
      </c>
      <c r="R1284">
        <v>1</v>
      </c>
      <c r="S1284">
        <v>3143</v>
      </c>
      <c r="T1284" t="s">
        <v>21</v>
      </c>
    </row>
    <row r="1285" spans="1:20" x14ac:dyDescent="0.25">
      <c r="A1285">
        <v>28</v>
      </c>
      <c r="B1285" t="str">
        <f t="shared" si="20"/>
        <v>25-34</v>
      </c>
      <c r="C1285" t="s">
        <v>21</v>
      </c>
      <c r="F1285" t="s">
        <v>17</v>
      </c>
      <c r="G1285">
        <v>1181</v>
      </c>
      <c r="H1285" t="s">
        <v>23</v>
      </c>
      <c r="I1285">
        <v>1</v>
      </c>
      <c r="J1285">
        <v>3</v>
      </c>
      <c r="K1285" t="s">
        <v>19</v>
      </c>
      <c r="L1285">
        <v>1</v>
      </c>
      <c r="M1285">
        <v>1799</v>
      </c>
      <c r="O1285">
        <v>3</v>
      </c>
      <c r="P1285">
        <v>1</v>
      </c>
      <c r="Q1285" t="s">
        <v>24</v>
      </c>
      <c r="R1285">
        <v>4</v>
      </c>
      <c r="S1285">
        <v>2044</v>
      </c>
      <c r="T1285" t="s">
        <v>21</v>
      </c>
    </row>
    <row r="1286" spans="1:20" x14ac:dyDescent="0.25">
      <c r="A1286">
        <v>39</v>
      </c>
      <c r="B1286" t="str">
        <f t="shared" si="20"/>
        <v>35-44</v>
      </c>
      <c r="C1286" t="s">
        <v>21</v>
      </c>
      <c r="F1286" t="s">
        <v>17</v>
      </c>
      <c r="G1286">
        <v>1253</v>
      </c>
      <c r="H1286" t="s">
        <v>23</v>
      </c>
      <c r="I1286">
        <v>10</v>
      </c>
      <c r="J1286">
        <v>1</v>
      </c>
      <c r="K1286" t="s">
        <v>27</v>
      </c>
      <c r="L1286">
        <v>1</v>
      </c>
      <c r="M1286">
        <v>1800</v>
      </c>
      <c r="O1286">
        <v>3</v>
      </c>
      <c r="P1286">
        <v>3</v>
      </c>
      <c r="Q1286" t="s">
        <v>33</v>
      </c>
      <c r="R1286">
        <v>3</v>
      </c>
      <c r="S1286">
        <v>13464</v>
      </c>
      <c r="T1286" t="s">
        <v>21</v>
      </c>
    </row>
    <row r="1287" spans="1:20" x14ac:dyDescent="0.25">
      <c r="A1287">
        <v>46</v>
      </c>
      <c r="B1287" t="str">
        <f t="shared" si="20"/>
        <v>45-54</v>
      </c>
      <c r="C1287" t="s">
        <v>21</v>
      </c>
      <c r="F1287" t="s">
        <v>30</v>
      </c>
      <c r="G1287">
        <v>849</v>
      </c>
      <c r="H1287" t="s">
        <v>18</v>
      </c>
      <c r="I1287">
        <v>26</v>
      </c>
      <c r="J1287">
        <v>2</v>
      </c>
      <c r="K1287" t="s">
        <v>19</v>
      </c>
      <c r="L1287">
        <v>1</v>
      </c>
      <c r="M1287">
        <v>1801</v>
      </c>
      <c r="O1287">
        <v>2</v>
      </c>
      <c r="P1287">
        <v>2</v>
      </c>
      <c r="Q1287" t="s">
        <v>20</v>
      </c>
      <c r="R1287">
        <v>2</v>
      </c>
      <c r="S1287">
        <v>7991</v>
      </c>
      <c r="T1287" t="s">
        <v>21</v>
      </c>
    </row>
    <row r="1288" spans="1:20" x14ac:dyDescent="0.25">
      <c r="A1288">
        <v>40</v>
      </c>
      <c r="B1288" t="str">
        <f t="shared" si="20"/>
        <v>35-44</v>
      </c>
      <c r="C1288" t="s">
        <v>21</v>
      </c>
      <c r="F1288" t="s">
        <v>17</v>
      </c>
      <c r="G1288">
        <v>616</v>
      </c>
      <c r="H1288" t="s">
        <v>23</v>
      </c>
      <c r="I1288">
        <v>2</v>
      </c>
      <c r="J1288">
        <v>2</v>
      </c>
      <c r="K1288" t="s">
        <v>19</v>
      </c>
      <c r="L1288">
        <v>1</v>
      </c>
      <c r="M1288">
        <v>1802</v>
      </c>
      <c r="O1288">
        <v>3</v>
      </c>
      <c r="P1288">
        <v>1</v>
      </c>
      <c r="Q1288" t="s">
        <v>26</v>
      </c>
      <c r="R1288">
        <v>1</v>
      </c>
      <c r="S1288">
        <v>3377</v>
      </c>
      <c r="T1288" t="s">
        <v>21</v>
      </c>
    </row>
    <row r="1289" spans="1:20" x14ac:dyDescent="0.25">
      <c r="A1289">
        <v>42</v>
      </c>
      <c r="B1289" t="str">
        <f t="shared" si="20"/>
        <v>35-44</v>
      </c>
      <c r="C1289" t="s">
        <v>21</v>
      </c>
      <c r="F1289" t="s">
        <v>17</v>
      </c>
      <c r="G1289">
        <v>1128</v>
      </c>
      <c r="H1289" t="s">
        <v>23</v>
      </c>
      <c r="I1289">
        <v>13</v>
      </c>
      <c r="J1289">
        <v>3</v>
      </c>
      <c r="K1289" t="s">
        <v>27</v>
      </c>
      <c r="L1289">
        <v>1</v>
      </c>
      <c r="M1289">
        <v>1803</v>
      </c>
      <c r="O1289">
        <v>2</v>
      </c>
      <c r="P1289">
        <v>2</v>
      </c>
      <c r="Q1289" t="s">
        <v>29</v>
      </c>
      <c r="R1289">
        <v>1</v>
      </c>
      <c r="S1289">
        <v>5538</v>
      </c>
      <c r="T1289" t="s">
        <v>21</v>
      </c>
    </row>
    <row r="1290" spans="1:20" x14ac:dyDescent="0.25">
      <c r="A1290">
        <v>35</v>
      </c>
      <c r="B1290" t="str">
        <f t="shared" si="20"/>
        <v>35-44</v>
      </c>
      <c r="C1290" t="s">
        <v>21</v>
      </c>
      <c r="F1290" t="s">
        <v>30</v>
      </c>
      <c r="G1290">
        <v>1180</v>
      </c>
      <c r="H1290" t="s">
        <v>23</v>
      </c>
      <c r="I1290">
        <v>2</v>
      </c>
      <c r="J1290">
        <v>2</v>
      </c>
      <c r="K1290" t="s">
        <v>27</v>
      </c>
      <c r="L1290">
        <v>1</v>
      </c>
      <c r="M1290">
        <v>1804</v>
      </c>
      <c r="O1290">
        <v>2</v>
      </c>
      <c r="P1290">
        <v>2</v>
      </c>
      <c r="Q1290" t="s">
        <v>28</v>
      </c>
      <c r="R1290">
        <v>4</v>
      </c>
      <c r="S1290">
        <v>5762</v>
      </c>
      <c r="T1290" t="s">
        <v>21</v>
      </c>
    </row>
    <row r="1291" spans="1:20" x14ac:dyDescent="0.25">
      <c r="A1291">
        <v>38</v>
      </c>
      <c r="B1291" t="str">
        <f t="shared" si="20"/>
        <v>35-44</v>
      </c>
      <c r="C1291" t="s">
        <v>21</v>
      </c>
      <c r="F1291" t="s">
        <v>30</v>
      </c>
      <c r="G1291">
        <v>1336</v>
      </c>
      <c r="H1291" t="s">
        <v>36</v>
      </c>
      <c r="I1291">
        <v>2</v>
      </c>
      <c r="J1291">
        <v>3</v>
      </c>
      <c r="K1291" t="s">
        <v>36</v>
      </c>
      <c r="L1291">
        <v>1</v>
      </c>
      <c r="M1291">
        <v>1805</v>
      </c>
      <c r="O1291">
        <v>1</v>
      </c>
      <c r="P1291">
        <v>1</v>
      </c>
      <c r="Q1291" t="s">
        <v>36</v>
      </c>
      <c r="R1291">
        <v>2</v>
      </c>
      <c r="S1291">
        <v>2592</v>
      </c>
      <c r="T1291" t="s">
        <v>21</v>
      </c>
    </row>
    <row r="1292" spans="1:20" x14ac:dyDescent="0.25">
      <c r="A1292">
        <v>34</v>
      </c>
      <c r="B1292" t="str">
        <f t="shared" si="20"/>
        <v>25-34</v>
      </c>
      <c r="C1292" t="s">
        <v>16</v>
      </c>
      <c r="F1292" t="s">
        <v>22</v>
      </c>
      <c r="G1292">
        <v>234</v>
      </c>
      <c r="H1292" t="s">
        <v>23</v>
      </c>
      <c r="I1292">
        <v>9</v>
      </c>
      <c r="J1292">
        <v>4</v>
      </c>
      <c r="K1292" t="s">
        <v>19</v>
      </c>
      <c r="L1292">
        <v>1</v>
      </c>
      <c r="M1292">
        <v>1807</v>
      </c>
      <c r="O1292">
        <v>4</v>
      </c>
      <c r="P1292">
        <v>2</v>
      </c>
      <c r="Q1292" t="s">
        <v>26</v>
      </c>
      <c r="R1292">
        <v>1</v>
      </c>
      <c r="S1292">
        <v>5346</v>
      </c>
      <c r="T1292" t="s">
        <v>21</v>
      </c>
    </row>
    <row r="1293" spans="1:20" x14ac:dyDescent="0.25">
      <c r="A1293">
        <v>37</v>
      </c>
      <c r="B1293" t="str">
        <f t="shared" si="20"/>
        <v>35-44</v>
      </c>
      <c r="C1293" t="s">
        <v>16</v>
      </c>
      <c r="F1293" t="s">
        <v>17</v>
      </c>
      <c r="G1293">
        <v>370</v>
      </c>
      <c r="H1293" t="s">
        <v>23</v>
      </c>
      <c r="I1293">
        <v>10</v>
      </c>
      <c r="J1293">
        <v>4</v>
      </c>
      <c r="K1293" t="s">
        <v>27</v>
      </c>
      <c r="L1293">
        <v>1</v>
      </c>
      <c r="M1293">
        <v>1809</v>
      </c>
      <c r="O1293">
        <v>4</v>
      </c>
      <c r="P1293">
        <v>2</v>
      </c>
      <c r="Q1293" t="s">
        <v>28</v>
      </c>
      <c r="R1293">
        <v>1</v>
      </c>
      <c r="S1293">
        <v>4213</v>
      </c>
      <c r="T1293" t="s">
        <v>21</v>
      </c>
    </row>
    <row r="1294" spans="1:20" x14ac:dyDescent="0.25">
      <c r="A1294">
        <v>39</v>
      </c>
      <c r="B1294" t="str">
        <f t="shared" si="20"/>
        <v>35-44</v>
      </c>
      <c r="C1294" t="s">
        <v>21</v>
      </c>
      <c r="F1294" t="s">
        <v>22</v>
      </c>
      <c r="G1294">
        <v>766</v>
      </c>
      <c r="H1294" t="s">
        <v>18</v>
      </c>
      <c r="I1294">
        <v>20</v>
      </c>
      <c r="J1294">
        <v>3</v>
      </c>
      <c r="K1294" t="s">
        <v>19</v>
      </c>
      <c r="L1294">
        <v>1</v>
      </c>
      <c r="M1294">
        <v>1812</v>
      </c>
      <c r="O1294">
        <v>3</v>
      </c>
      <c r="P1294">
        <v>2</v>
      </c>
      <c r="Q1294" t="s">
        <v>20</v>
      </c>
      <c r="R1294">
        <v>4</v>
      </c>
      <c r="S1294">
        <v>4127</v>
      </c>
      <c r="T1294" t="s">
        <v>21</v>
      </c>
    </row>
    <row r="1295" spans="1:20" x14ac:dyDescent="0.25">
      <c r="A1295">
        <v>43</v>
      </c>
      <c r="B1295" t="str">
        <f t="shared" si="20"/>
        <v>35-44</v>
      </c>
      <c r="C1295" t="s">
        <v>21</v>
      </c>
      <c r="F1295" t="s">
        <v>30</v>
      </c>
      <c r="G1295">
        <v>343</v>
      </c>
      <c r="H1295" t="s">
        <v>23</v>
      </c>
      <c r="I1295">
        <v>9</v>
      </c>
      <c r="J1295">
        <v>3</v>
      </c>
      <c r="K1295" t="s">
        <v>19</v>
      </c>
      <c r="L1295">
        <v>1</v>
      </c>
      <c r="M1295">
        <v>1813</v>
      </c>
      <c r="O1295">
        <v>1</v>
      </c>
      <c r="P1295">
        <v>1</v>
      </c>
      <c r="Q1295" t="s">
        <v>24</v>
      </c>
      <c r="R1295">
        <v>3</v>
      </c>
      <c r="S1295">
        <v>2438</v>
      </c>
      <c r="T1295" t="s">
        <v>21</v>
      </c>
    </row>
    <row r="1296" spans="1:20" x14ac:dyDescent="0.25">
      <c r="A1296">
        <v>41</v>
      </c>
      <c r="B1296" t="str">
        <f t="shared" si="20"/>
        <v>35-44</v>
      </c>
      <c r="C1296" t="s">
        <v>21</v>
      </c>
      <c r="F1296" t="s">
        <v>17</v>
      </c>
      <c r="G1296">
        <v>447</v>
      </c>
      <c r="H1296" t="s">
        <v>23</v>
      </c>
      <c r="I1296">
        <v>5</v>
      </c>
      <c r="J1296">
        <v>3</v>
      </c>
      <c r="K1296" t="s">
        <v>19</v>
      </c>
      <c r="L1296">
        <v>1</v>
      </c>
      <c r="M1296">
        <v>1814</v>
      </c>
      <c r="O1296">
        <v>2</v>
      </c>
      <c r="P1296">
        <v>2</v>
      </c>
      <c r="Q1296" t="s">
        <v>29</v>
      </c>
      <c r="R1296">
        <v>2</v>
      </c>
      <c r="S1296">
        <v>6870</v>
      </c>
      <c r="T1296" t="s">
        <v>21</v>
      </c>
    </row>
    <row r="1297" spans="1:20" x14ac:dyDescent="0.25">
      <c r="A1297">
        <v>41</v>
      </c>
      <c r="B1297" t="str">
        <f t="shared" si="20"/>
        <v>35-44</v>
      </c>
      <c r="C1297" t="s">
        <v>21</v>
      </c>
      <c r="F1297" t="s">
        <v>17</v>
      </c>
      <c r="G1297">
        <v>796</v>
      </c>
      <c r="H1297" t="s">
        <v>18</v>
      </c>
      <c r="I1297">
        <v>4</v>
      </c>
      <c r="J1297">
        <v>1</v>
      </c>
      <c r="K1297" t="s">
        <v>34</v>
      </c>
      <c r="L1297">
        <v>1</v>
      </c>
      <c r="M1297">
        <v>1815</v>
      </c>
      <c r="O1297">
        <v>3</v>
      </c>
      <c r="P1297">
        <v>3</v>
      </c>
      <c r="Q1297" t="s">
        <v>20</v>
      </c>
      <c r="R1297">
        <v>3</v>
      </c>
      <c r="S1297">
        <v>10447</v>
      </c>
      <c r="T1297" t="s">
        <v>16</v>
      </c>
    </row>
    <row r="1298" spans="1:20" x14ac:dyDescent="0.25">
      <c r="A1298">
        <v>30</v>
      </c>
      <c r="B1298" t="str">
        <f t="shared" si="20"/>
        <v>25-34</v>
      </c>
      <c r="C1298" t="s">
        <v>21</v>
      </c>
      <c r="F1298" t="s">
        <v>17</v>
      </c>
      <c r="G1298">
        <v>1092</v>
      </c>
      <c r="H1298" t="s">
        <v>23</v>
      </c>
      <c r="I1298">
        <v>10</v>
      </c>
      <c r="J1298">
        <v>3</v>
      </c>
      <c r="K1298" t="s">
        <v>27</v>
      </c>
      <c r="L1298">
        <v>1</v>
      </c>
      <c r="M1298">
        <v>1816</v>
      </c>
      <c r="O1298">
        <v>1</v>
      </c>
      <c r="P1298">
        <v>3</v>
      </c>
      <c r="Q1298" t="s">
        <v>28</v>
      </c>
      <c r="R1298">
        <v>3</v>
      </c>
      <c r="S1298">
        <v>9667</v>
      </c>
      <c r="T1298" t="s">
        <v>21</v>
      </c>
    </row>
    <row r="1299" spans="1:20" x14ac:dyDescent="0.25">
      <c r="A1299">
        <v>26</v>
      </c>
      <c r="B1299" t="str">
        <f t="shared" si="20"/>
        <v>25-34</v>
      </c>
      <c r="C1299" t="s">
        <v>16</v>
      </c>
      <c r="F1299" t="s">
        <v>17</v>
      </c>
      <c r="G1299">
        <v>920</v>
      </c>
      <c r="H1299" t="s">
        <v>36</v>
      </c>
      <c r="I1299">
        <v>20</v>
      </c>
      <c r="J1299">
        <v>2</v>
      </c>
      <c r="K1299" t="s">
        <v>27</v>
      </c>
      <c r="L1299">
        <v>1</v>
      </c>
      <c r="M1299">
        <v>1818</v>
      </c>
      <c r="O1299">
        <v>4</v>
      </c>
      <c r="P1299">
        <v>1</v>
      </c>
      <c r="Q1299" t="s">
        <v>36</v>
      </c>
      <c r="R1299">
        <v>2</v>
      </c>
      <c r="S1299">
        <v>2148</v>
      </c>
      <c r="T1299" t="s">
        <v>16</v>
      </c>
    </row>
    <row r="1300" spans="1:20" x14ac:dyDescent="0.25">
      <c r="A1300">
        <v>46</v>
      </c>
      <c r="B1300" t="str">
        <f t="shared" si="20"/>
        <v>45-54</v>
      </c>
      <c r="C1300" t="s">
        <v>16</v>
      </c>
      <c r="F1300" t="s">
        <v>17</v>
      </c>
      <c r="G1300">
        <v>261</v>
      </c>
      <c r="H1300" t="s">
        <v>23</v>
      </c>
      <c r="I1300">
        <v>21</v>
      </c>
      <c r="J1300">
        <v>2</v>
      </c>
      <c r="K1300" t="s">
        <v>27</v>
      </c>
      <c r="L1300">
        <v>1</v>
      </c>
      <c r="M1300">
        <v>1821</v>
      </c>
      <c r="O1300">
        <v>4</v>
      </c>
      <c r="P1300">
        <v>2</v>
      </c>
      <c r="Q1300" t="s">
        <v>29</v>
      </c>
      <c r="R1300">
        <v>2</v>
      </c>
      <c r="S1300">
        <v>8926</v>
      </c>
      <c r="T1300" t="s">
        <v>21</v>
      </c>
    </row>
    <row r="1301" spans="1:20" x14ac:dyDescent="0.25">
      <c r="A1301">
        <v>40</v>
      </c>
      <c r="B1301" t="str">
        <f t="shared" si="20"/>
        <v>35-44</v>
      </c>
      <c r="C1301" t="s">
        <v>21</v>
      </c>
      <c r="F1301" t="s">
        <v>17</v>
      </c>
      <c r="G1301">
        <v>1194</v>
      </c>
      <c r="H1301" t="s">
        <v>23</v>
      </c>
      <c r="I1301">
        <v>1</v>
      </c>
      <c r="J1301">
        <v>3</v>
      </c>
      <c r="K1301" t="s">
        <v>19</v>
      </c>
      <c r="L1301">
        <v>1</v>
      </c>
      <c r="M1301">
        <v>1822</v>
      </c>
      <c r="O1301">
        <v>3</v>
      </c>
      <c r="P1301">
        <v>2</v>
      </c>
      <c r="Q1301" t="s">
        <v>29</v>
      </c>
      <c r="R1301">
        <v>4</v>
      </c>
      <c r="S1301">
        <v>6513</v>
      </c>
      <c r="T1301" t="s">
        <v>21</v>
      </c>
    </row>
    <row r="1302" spans="1:20" x14ac:dyDescent="0.25">
      <c r="A1302">
        <v>34</v>
      </c>
      <c r="B1302" t="str">
        <f t="shared" si="20"/>
        <v>25-34</v>
      </c>
      <c r="C1302" t="s">
        <v>21</v>
      </c>
      <c r="F1302" t="s">
        <v>17</v>
      </c>
      <c r="G1302">
        <v>810</v>
      </c>
      <c r="H1302" t="s">
        <v>18</v>
      </c>
      <c r="I1302">
        <v>8</v>
      </c>
      <c r="J1302">
        <v>2</v>
      </c>
      <c r="K1302" t="s">
        <v>35</v>
      </c>
      <c r="L1302">
        <v>1</v>
      </c>
      <c r="M1302">
        <v>1823</v>
      </c>
      <c r="O1302">
        <v>2</v>
      </c>
      <c r="P1302">
        <v>2</v>
      </c>
      <c r="Q1302" t="s">
        <v>20</v>
      </c>
      <c r="R1302">
        <v>3</v>
      </c>
      <c r="S1302">
        <v>6799</v>
      </c>
      <c r="T1302" t="s">
        <v>21</v>
      </c>
    </row>
    <row r="1303" spans="1:20" x14ac:dyDescent="0.25">
      <c r="A1303">
        <v>58</v>
      </c>
      <c r="B1303" t="str">
        <f t="shared" si="20"/>
        <v>55+</v>
      </c>
      <c r="C1303" t="s">
        <v>21</v>
      </c>
      <c r="F1303" t="s">
        <v>30</v>
      </c>
      <c r="G1303">
        <v>350</v>
      </c>
      <c r="H1303" t="s">
        <v>18</v>
      </c>
      <c r="I1303">
        <v>2</v>
      </c>
      <c r="J1303">
        <v>3</v>
      </c>
      <c r="K1303" t="s">
        <v>27</v>
      </c>
      <c r="L1303">
        <v>1</v>
      </c>
      <c r="M1303">
        <v>1824</v>
      </c>
      <c r="O1303">
        <v>2</v>
      </c>
      <c r="P1303">
        <v>4</v>
      </c>
      <c r="Q1303" t="s">
        <v>31</v>
      </c>
      <c r="R1303">
        <v>2</v>
      </c>
      <c r="S1303">
        <v>16291</v>
      </c>
      <c r="T1303" t="s">
        <v>21</v>
      </c>
    </row>
    <row r="1304" spans="1:20" x14ac:dyDescent="0.25">
      <c r="A1304">
        <v>35</v>
      </c>
      <c r="B1304" t="str">
        <f t="shared" si="20"/>
        <v>35-44</v>
      </c>
      <c r="C1304" t="s">
        <v>21</v>
      </c>
      <c r="F1304" t="s">
        <v>17</v>
      </c>
      <c r="G1304">
        <v>185</v>
      </c>
      <c r="H1304" t="s">
        <v>23</v>
      </c>
      <c r="I1304">
        <v>23</v>
      </c>
      <c r="J1304">
        <v>4</v>
      </c>
      <c r="K1304" t="s">
        <v>27</v>
      </c>
      <c r="L1304">
        <v>1</v>
      </c>
      <c r="M1304">
        <v>1826</v>
      </c>
      <c r="O1304">
        <v>2</v>
      </c>
      <c r="P1304">
        <v>1</v>
      </c>
      <c r="Q1304" t="s">
        <v>26</v>
      </c>
      <c r="R1304">
        <v>3</v>
      </c>
      <c r="S1304">
        <v>2705</v>
      </c>
      <c r="T1304" t="s">
        <v>21</v>
      </c>
    </row>
    <row r="1305" spans="1:20" x14ac:dyDescent="0.25">
      <c r="A1305">
        <v>47</v>
      </c>
      <c r="B1305" t="str">
        <f t="shared" si="20"/>
        <v>45-54</v>
      </c>
      <c r="C1305" t="s">
        <v>21</v>
      </c>
      <c r="F1305" t="s">
        <v>17</v>
      </c>
      <c r="G1305">
        <v>1001</v>
      </c>
      <c r="H1305" t="s">
        <v>23</v>
      </c>
      <c r="I1305">
        <v>4</v>
      </c>
      <c r="J1305">
        <v>3</v>
      </c>
      <c r="K1305" t="s">
        <v>19</v>
      </c>
      <c r="L1305">
        <v>1</v>
      </c>
      <c r="M1305">
        <v>1827</v>
      </c>
      <c r="O1305">
        <v>3</v>
      </c>
      <c r="P1305">
        <v>3</v>
      </c>
      <c r="Q1305" t="s">
        <v>28</v>
      </c>
      <c r="R1305">
        <v>2</v>
      </c>
      <c r="S1305">
        <v>10333</v>
      </c>
      <c r="T1305" t="s">
        <v>16</v>
      </c>
    </row>
    <row r="1306" spans="1:20" x14ac:dyDescent="0.25">
      <c r="A1306">
        <v>40</v>
      </c>
      <c r="B1306" t="str">
        <f t="shared" si="20"/>
        <v>35-44</v>
      </c>
      <c r="C1306" t="s">
        <v>21</v>
      </c>
      <c r="F1306" t="s">
        <v>17</v>
      </c>
      <c r="G1306">
        <v>750</v>
      </c>
      <c r="H1306" t="s">
        <v>23</v>
      </c>
      <c r="I1306">
        <v>12</v>
      </c>
      <c r="J1306">
        <v>3</v>
      </c>
      <c r="K1306" t="s">
        <v>19</v>
      </c>
      <c r="L1306">
        <v>1</v>
      </c>
      <c r="M1306">
        <v>1829</v>
      </c>
      <c r="O1306">
        <v>2</v>
      </c>
      <c r="P1306">
        <v>2</v>
      </c>
      <c r="Q1306" t="s">
        <v>29</v>
      </c>
      <c r="R1306">
        <v>1</v>
      </c>
      <c r="S1306">
        <v>4448</v>
      </c>
      <c r="T1306" t="s">
        <v>21</v>
      </c>
    </row>
    <row r="1307" spans="1:20" x14ac:dyDescent="0.25">
      <c r="A1307">
        <v>54</v>
      </c>
      <c r="B1307" t="str">
        <f t="shared" si="20"/>
        <v>45-54</v>
      </c>
      <c r="C1307" t="s">
        <v>21</v>
      </c>
      <c r="F1307" t="s">
        <v>17</v>
      </c>
      <c r="G1307">
        <v>431</v>
      </c>
      <c r="H1307" t="s">
        <v>23</v>
      </c>
      <c r="I1307">
        <v>7</v>
      </c>
      <c r="J1307">
        <v>4</v>
      </c>
      <c r="K1307" t="s">
        <v>27</v>
      </c>
      <c r="L1307">
        <v>1</v>
      </c>
      <c r="M1307">
        <v>1830</v>
      </c>
      <c r="O1307">
        <v>4</v>
      </c>
      <c r="P1307">
        <v>2</v>
      </c>
      <c r="Q1307" t="s">
        <v>24</v>
      </c>
      <c r="R1307">
        <v>4</v>
      </c>
      <c r="S1307">
        <v>6854</v>
      </c>
      <c r="T1307" t="s">
        <v>21</v>
      </c>
    </row>
    <row r="1308" spans="1:20" x14ac:dyDescent="0.25">
      <c r="A1308">
        <v>31</v>
      </c>
      <c r="B1308" t="str">
        <f t="shared" si="20"/>
        <v>25-34</v>
      </c>
      <c r="C1308" t="s">
        <v>21</v>
      </c>
      <c r="F1308" t="s">
        <v>22</v>
      </c>
      <c r="G1308">
        <v>1125</v>
      </c>
      <c r="H1308" t="s">
        <v>18</v>
      </c>
      <c r="I1308">
        <v>7</v>
      </c>
      <c r="J1308">
        <v>4</v>
      </c>
      <c r="K1308" t="s">
        <v>34</v>
      </c>
      <c r="L1308">
        <v>1</v>
      </c>
      <c r="M1308">
        <v>1833</v>
      </c>
      <c r="O1308">
        <v>1</v>
      </c>
      <c r="P1308">
        <v>3</v>
      </c>
      <c r="Q1308" t="s">
        <v>20</v>
      </c>
      <c r="R1308">
        <v>1</v>
      </c>
      <c r="S1308">
        <v>9637</v>
      </c>
      <c r="T1308" t="s">
        <v>21</v>
      </c>
    </row>
    <row r="1309" spans="1:20" x14ac:dyDescent="0.25">
      <c r="A1309">
        <v>28</v>
      </c>
      <c r="B1309" t="str">
        <f t="shared" si="20"/>
        <v>25-34</v>
      </c>
      <c r="C1309" t="s">
        <v>21</v>
      </c>
      <c r="F1309" t="s">
        <v>17</v>
      </c>
      <c r="G1309">
        <v>1217</v>
      </c>
      <c r="H1309" t="s">
        <v>23</v>
      </c>
      <c r="I1309">
        <v>1</v>
      </c>
      <c r="J1309">
        <v>3</v>
      </c>
      <c r="K1309" t="s">
        <v>27</v>
      </c>
      <c r="L1309">
        <v>1</v>
      </c>
      <c r="M1309">
        <v>1834</v>
      </c>
      <c r="O1309">
        <v>3</v>
      </c>
      <c r="P1309">
        <v>1</v>
      </c>
      <c r="Q1309" t="s">
        <v>24</v>
      </c>
      <c r="R1309">
        <v>1</v>
      </c>
      <c r="S1309">
        <v>3591</v>
      </c>
      <c r="T1309" t="s">
        <v>21</v>
      </c>
    </row>
    <row r="1310" spans="1:20" x14ac:dyDescent="0.25">
      <c r="A1310">
        <v>38</v>
      </c>
      <c r="B1310" t="str">
        <f t="shared" si="20"/>
        <v>35-44</v>
      </c>
      <c r="C1310" t="s">
        <v>21</v>
      </c>
      <c r="F1310" t="s">
        <v>17</v>
      </c>
      <c r="G1310">
        <v>723</v>
      </c>
      <c r="H1310" t="s">
        <v>18</v>
      </c>
      <c r="I1310">
        <v>2</v>
      </c>
      <c r="J1310">
        <v>4</v>
      </c>
      <c r="K1310" t="s">
        <v>34</v>
      </c>
      <c r="L1310">
        <v>1</v>
      </c>
      <c r="M1310">
        <v>1835</v>
      </c>
      <c r="O1310">
        <v>2</v>
      </c>
      <c r="P1310">
        <v>2</v>
      </c>
      <c r="Q1310" t="s">
        <v>32</v>
      </c>
      <c r="R1310">
        <v>4</v>
      </c>
      <c r="S1310">
        <v>5405</v>
      </c>
      <c r="T1310" t="s">
        <v>16</v>
      </c>
    </row>
    <row r="1311" spans="1:20" x14ac:dyDescent="0.25">
      <c r="A1311">
        <v>26</v>
      </c>
      <c r="B1311" t="str">
        <f t="shared" si="20"/>
        <v>25-34</v>
      </c>
      <c r="C1311" t="s">
        <v>21</v>
      </c>
      <c r="F1311" t="s">
        <v>17</v>
      </c>
      <c r="G1311">
        <v>572</v>
      </c>
      <c r="H1311" t="s">
        <v>18</v>
      </c>
      <c r="I1311">
        <v>10</v>
      </c>
      <c r="J1311">
        <v>3</v>
      </c>
      <c r="K1311" t="s">
        <v>27</v>
      </c>
      <c r="L1311">
        <v>1</v>
      </c>
      <c r="M1311">
        <v>1836</v>
      </c>
      <c r="O1311">
        <v>3</v>
      </c>
      <c r="P1311">
        <v>2</v>
      </c>
      <c r="Q1311" t="s">
        <v>20</v>
      </c>
      <c r="R1311">
        <v>4</v>
      </c>
      <c r="S1311">
        <v>4684</v>
      </c>
      <c r="T1311" t="s">
        <v>21</v>
      </c>
    </row>
    <row r="1312" spans="1:20" x14ac:dyDescent="0.25">
      <c r="A1312">
        <v>58</v>
      </c>
      <c r="B1312" t="str">
        <f t="shared" si="20"/>
        <v>55+</v>
      </c>
      <c r="C1312" t="s">
        <v>21</v>
      </c>
      <c r="F1312" t="s">
        <v>22</v>
      </c>
      <c r="G1312">
        <v>1216</v>
      </c>
      <c r="H1312" t="s">
        <v>23</v>
      </c>
      <c r="I1312">
        <v>15</v>
      </c>
      <c r="J1312">
        <v>4</v>
      </c>
      <c r="K1312" t="s">
        <v>19</v>
      </c>
      <c r="L1312">
        <v>1</v>
      </c>
      <c r="M1312">
        <v>1837</v>
      </c>
      <c r="O1312">
        <v>1</v>
      </c>
      <c r="P1312">
        <v>4</v>
      </c>
      <c r="Q1312" t="s">
        <v>33</v>
      </c>
      <c r="R1312">
        <v>3</v>
      </c>
      <c r="S1312">
        <v>15787</v>
      </c>
      <c r="T1312" t="s">
        <v>16</v>
      </c>
    </row>
    <row r="1313" spans="1:20" x14ac:dyDescent="0.25">
      <c r="A1313">
        <v>18</v>
      </c>
      <c r="B1313" t="str">
        <f t="shared" si="20"/>
        <v>18-24</v>
      </c>
      <c r="C1313" t="s">
        <v>21</v>
      </c>
      <c r="F1313" t="s">
        <v>30</v>
      </c>
      <c r="G1313">
        <v>1431</v>
      </c>
      <c r="H1313" t="s">
        <v>23</v>
      </c>
      <c r="I1313">
        <v>14</v>
      </c>
      <c r="J1313">
        <v>3</v>
      </c>
      <c r="K1313" t="s">
        <v>27</v>
      </c>
      <c r="L1313">
        <v>1</v>
      </c>
      <c r="M1313">
        <v>1839</v>
      </c>
      <c r="O1313">
        <v>2</v>
      </c>
      <c r="P1313">
        <v>1</v>
      </c>
      <c r="Q1313" t="s">
        <v>24</v>
      </c>
      <c r="R1313">
        <v>3</v>
      </c>
      <c r="S1313">
        <v>1514</v>
      </c>
      <c r="T1313" t="s">
        <v>21</v>
      </c>
    </row>
    <row r="1314" spans="1:20" x14ac:dyDescent="0.25">
      <c r="A1314">
        <v>31</v>
      </c>
      <c r="B1314" t="str">
        <f t="shared" si="20"/>
        <v>25-34</v>
      </c>
      <c r="C1314" t="s">
        <v>16</v>
      </c>
      <c r="F1314" t="s">
        <v>17</v>
      </c>
      <c r="G1314">
        <v>359</v>
      </c>
      <c r="H1314" t="s">
        <v>36</v>
      </c>
      <c r="I1314">
        <v>18</v>
      </c>
      <c r="J1314">
        <v>5</v>
      </c>
      <c r="K1314" t="s">
        <v>36</v>
      </c>
      <c r="L1314">
        <v>1</v>
      </c>
      <c r="M1314">
        <v>1842</v>
      </c>
      <c r="O1314">
        <v>4</v>
      </c>
      <c r="P1314">
        <v>1</v>
      </c>
      <c r="Q1314" t="s">
        <v>36</v>
      </c>
      <c r="R1314">
        <v>1</v>
      </c>
      <c r="S1314">
        <v>2956</v>
      </c>
      <c r="T1314" t="s">
        <v>21</v>
      </c>
    </row>
    <row r="1315" spans="1:20" x14ac:dyDescent="0.25">
      <c r="A1315">
        <v>29</v>
      </c>
      <c r="B1315" t="str">
        <f t="shared" si="20"/>
        <v>25-34</v>
      </c>
      <c r="C1315" t="s">
        <v>16</v>
      </c>
      <c r="F1315" t="s">
        <v>17</v>
      </c>
      <c r="G1315">
        <v>350</v>
      </c>
      <c r="H1315" t="s">
        <v>36</v>
      </c>
      <c r="I1315">
        <v>13</v>
      </c>
      <c r="J1315">
        <v>3</v>
      </c>
      <c r="K1315" t="s">
        <v>36</v>
      </c>
      <c r="L1315">
        <v>1</v>
      </c>
      <c r="M1315">
        <v>1844</v>
      </c>
      <c r="O1315">
        <v>1</v>
      </c>
      <c r="P1315">
        <v>1</v>
      </c>
      <c r="Q1315" t="s">
        <v>36</v>
      </c>
      <c r="R1315">
        <v>1</v>
      </c>
      <c r="S1315">
        <v>2335</v>
      </c>
      <c r="T1315" t="s">
        <v>16</v>
      </c>
    </row>
    <row r="1316" spans="1:20" x14ac:dyDescent="0.25">
      <c r="A1316">
        <v>45</v>
      </c>
      <c r="B1316" t="str">
        <f t="shared" si="20"/>
        <v>45-54</v>
      </c>
      <c r="C1316" t="s">
        <v>21</v>
      </c>
      <c r="F1316" t="s">
        <v>30</v>
      </c>
      <c r="G1316">
        <v>589</v>
      </c>
      <c r="H1316" t="s">
        <v>18</v>
      </c>
      <c r="I1316">
        <v>2</v>
      </c>
      <c r="J1316">
        <v>4</v>
      </c>
      <c r="K1316" t="s">
        <v>19</v>
      </c>
      <c r="L1316">
        <v>1</v>
      </c>
      <c r="M1316">
        <v>1845</v>
      </c>
      <c r="O1316">
        <v>3</v>
      </c>
      <c r="P1316">
        <v>2</v>
      </c>
      <c r="Q1316" t="s">
        <v>20</v>
      </c>
      <c r="R1316">
        <v>3</v>
      </c>
      <c r="S1316">
        <v>5154</v>
      </c>
      <c r="T1316" t="s">
        <v>21</v>
      </c>
    </row>
    <row r="1317" spans="1:20" x14ac:dyDescent="0.25">
      <c r="A1317">
        <v>36</v>
      </c>
      <c r="B1317" t="str">
        <f t="shared" si="20"/>
        <v>35-44</v>
      </c>
      <c r="C1317" t="s">
        <v>21</v>
      </c>
      <c r="F1317" t="s">
        <v>17</v>
      </c>
      <c r="G1317">
        <v>430</v>
      </c>
      <c r="H1317" t="s">
        <v>23</v>
      </c>
      <c r="I1317">
        <v>2</v>
      </c>
      <c r="J1317">
        <v>4</v>
      </c>
      <c r="K1317" t="s">
        <v>25</v>
      </c>
      <c r="L1317">
        <v>1</v>
      </c>
      <c r="M1317">
        <v>1847</v>
      </c>
      <c r="O1317">
        <v>4</v>
      </c>
      <c r="P1317">
        <v>2</v>
      </c>
      <c r="Q1317" t="s">
        <v>24</v>
      </c>
      <c r="R1317">
        <v>2</v>
      </c>
      <c r="S1317">
        <v>6962</v>
      </c>
      <c r="T1317" t="s">
        <v>16</v>
      </c>
    </row>
    <row r="1318" spans="1:20" x14ac:dyDescent="0.25">
      <c r="A1318">
        <v>43</v>
      </c>
      <c r="B1318" t="str">
        <f t="shared" si="20"/>
        <v>35-44</v>
      </c>
      <c r="C1318" t="s">
        <v>21</v>
      </c>
      <c r="F1318" t="s">
        <v>22</v>
      </c>
      <c r="G1318">
        <v>1422</v>
      </c>
      <c r="H1318" t="s">
        <v>18</v>
      </c>
      <c r="I1318">
        <v>2</v>
      </c>
      <c r="J1318">
        <v>4</v>
      </c>
      <c r="K1318" t="s">
        <v>19</v>
      </c>
      <c r="L1318">
        <v>1</v>
      </c>
      <c r="M1318">
        <v>1849</v>
      </c>
      <c r="O1318">
        <v>1</v>
      </c>
      <c r="P1318">
        <v>2</v>
      </c>
      <c r="Q1318" t="s">
        <v>20</v>
      </c>
      <c r="R1318">
        <v>4</v>
      </c>
      <c r="S1318">
        <v>5675</v>
      </c>
      <c r="T1318" t="s">
        <v>21</v>
      </c>
    </row>
    <row r="1319" spans="1:20" x14ac:dyDescent="0.25">
      <c r="A1319">
        <v>27</v>
      </c>
      <c r="B1319" t="str">
        <f t="shared" si="20"/>
        <v>25-34</v>
      </c>
      <c r="C1319" t="s">
        <v>21</v>
      </c>
      <c r="F1319" t="s">
        <v>22</v>
      </c>
      <c r="G1319">
        <v>1297</v>
      </c>
      <c r="H1319" t="s">
        <v>23</v>
      </c>
      <c r="I1319">
        <v>5</v>
      </c>
      <c r="J1319">
        <v>2</v>
      </c>
      <c r="K1319" t="s">
        <v>19</v>
      </c>
      <c r="L1319">
        <v>1</v>
      </c>
      <c r="M1319">
        <v>1850</v>
      </c>
      <c r="O1319">
        <v>4</v>
      </c>
      <c r="P1319">
        <v>1</v>
      </c>
      <c r="Q1319" t="s">
        <v>26</v>
      </c>
      <c r="R1319">
        <v>4</v>
      </c>
      <c r="S1319">
        <v>2379</v>
      </c>
      <c r="T1319" t="s">
        <v>16</v>
      </c>
    </row>
    <row r="1320" spans="1:20" x14ac:dyDescent="0.25">
      <c r="A1320">
        <v>29</v>
      </c>
      <c r="B1320" t="str">
        <f t="shared" si="20"/>
        <v>25-34</v>
      </c>
      <c r="C1320" t="s">
        <v>21</v>
      </c>
      <c r="F1320" t="s">
        <v>22</v>
      </c>
      <c r="G1320">
        <v>574</v>
      </c>
      <c r="H1320" t="s">
        <v>23</v>
      </c>
      <c r="I1320">
        <v>20</v>
      </c>
      <c r="J1320">
        <v>1</v>
      </c>
      <c r="K1320" t="s">
        <v>27</v>
      </c>
      <c r="L1320">
        <v>1</v>
      </c>
      <c r="M1320">
        <v>1852</v>
      </c>
      <c r="O1320">
        <v>4</v>
      </c>
      <c r="P1320">
        <v>1</v>
      </c>
      <c r="Q1320" t="s">
        <v>26</v>
      </c>
      <c r="R1320">
        <v>4</v>
      </c>
      <c r="S1320">
        <v>3812</v>
      </c>
      <c r="T1320" t="s">
        <v>21</v>
      </c>
    </row>
    <row r="1321" spans="1:20" x14ac:dyDescent="0.25">
      <c r="A1321">
        <v>32</v>
      </c>
      <c r="B1321" t="str">
        <f t="shared" si="20"/>
        <v>25-34</v>
      </c>
      <c r="C1321" t="s">
        <v>21</v>
      </c>
      <c r="F1321" t="s">
        <v>22</v>
      </c>
      <c r="G1321">
        <v>1318</v>
      </c>
      <c r="H1321" t="s">
        <v>18</v>
      </c>
      <c r="I1321">
        <v>10</v>
      </c>
      <c r="J1321">
        <v>4</v>
      </c>
      <c r="K1321" t="s">
        <v>34</v>
      </c>
      <c r="L1321">
        <v>1</v>
      </c>
      <c r="M1321">
        <v>1853</v>
      </c>
      <c r="O1321">
        <v>4</v>
      </c>
      <c r="P1321">
        <v>2</v>
      </c>
      <c r="Q1321" t="s">
        <v>20</v>
      </c>
      <c r="R1321">
        <v>4</v>
      </c>
      <c r="S1321">
        <v>4648</v>
      </c>
      <c r="T1321" t="s">
        <v>21</v>
      </c>
    </row>
    <row r="1322" spans="1:20" x14ac:dyDescent="0.25">
      <c r="A1322">
        <v>42</v>
      </c>
      <c r="B1322" t="str">
        <f t="shared" si="20"/>
        <v>35-44</v>
      </c>
      <c r="C1322" t="s">
        <v>21</v>
      </c>
      <c r="F1322" t="s">
        <v>30</v>
      </c>
      <c r="G1322">
        <v>355</v>
      </c>
      <c r="H1322" t="s">
        <v>23</v>
      </c>
      <c r="I1322">
        <v>10</v>
      </c>
      <c r="J1322">
        <v>4</v>
      </c>
      <c r="K1322" t="s">
        <v>35</v>
      </c>
      <c r="L1322">
        <v>1</v>
      </c>
      <c r="M1322">
        <v>1854</v>
      </c>
      <c r="O1322">
        <v>3</v>
      </c>
      <c r="P1322">
        <v>1</v>
      </c>
      <c r="Q1322" t="s">
        <v>24</v>
      </c>
      <c r="R1322">
        <v>3</v>
      </c>
      <c r="S1322">
        <v>2936</v>
      </c>
      <c r="T1322" t="s">
        <v>21</v>
      </c>
    </row>
    <row r="1323" spans="1:20" x14ac:dyDescent="0.25">
      <c r="A1323">
        <v>47</v>
      </c>
      <c r="B1323" t="str">
        <f t="shared" si="20"/>
        <v>45-54</v>
      </c>
      <c r="C1323" t="s">
        <v>21</v>
      </c>
      <c r="F1323" t="s">
        <v>17</v>
      </c>
      <c r="G1323">
        <v>207</v>
      </c>
      <c r="H1323" t="s">
        <v>23</v>
      </c>
      <c r="I1323">
        <v>9</v>
      </c>
      <c r="J1323">
        <v>4</v>
      </c>
      <c r="K1323" t="s">
        <v>19</v>
      </c>
      <c r="L1323">
        <v>1</v>
      </c>
      <c r="M1323">
        <v>1856</v>
      </c>
      <c r="O1323">
        <v>2</v>
      </c>
      <c r="P1323">
        <v>1</v>
      </c>
      <c r="Q1323" t="s">
        <v>26</v>
      </c>
      <c r="R1323">
        <v>3</v>
      </c>
      <c r="S1323">
        <v>2105</v>
      </c>
      <c r="T1323" t="s">
        <v>21</v>
      </c>
    </row>
    <row r="1324" spans="1:20" x14ac:dyDescent="0.25">
      <c r="A1324">
        <v>46</v>
      </c>
      <c r="B1324" t="str">
        <f t="shared" si="20"/>
        <v>45-54</v>
      </c>
      <c r="C1324" t="s">
        <v>21</v>
      </c>
      <c r="F1324" t="s">
        <v>17</v>
      </c>
      <c r="G1324">
        <v>706</v>
      </c>
      <c r="H1324" t="s">
        <v>23</v>
      </c>
      <c r="I1324">
        <v>2</v>
      </c>
      <c r="J1324">
        <v>2</v>
      </c>
      <c r="K1324" t="s">
        <v>19</v>
      </c>
      <c r="L1324">
        <v>1</v>
      </c>
      <c r="M1324">
        <v>1857</v>
      </c>
      <c r="O1324">
        <v>4</v>
      </c>
      <c r="P1324">
        <v>3</v>
      </c>
      <c r="Q1324" t="s">
        <v>28</v>
      </c>
      <c r="R1324">
        <v>4</v>
      </c>
      <c r="S1324">
        <v>8578</v>
      </c>
      <c r="T1324" t="s">
        <v>21</v>
      </c>
    </row>
    <row r="1325" spans="1:20" x14ac:dyDescent="0.25">
      <c r="A1325">
        <v>28</v>
      </c>
      <c r="B1325" t="str">
        <f t="shared" si="20"/>
        <v>25-34</v>
      </c>
      <c r="C1325" t="s">
        <v>21</v>
      </c>
      <c r="F1325" t="s">
        <v>30</v>
      </c>
      <c r="G1325">
        <v>280</v>
      </c>
      <c r="H1325" t="s">
        <v>36</v>
      </c>
      <c r="I1325">
        <v>1</v>
      </c>
      <c r="J1325">
        <v>2</v>
      </c>
      <c r="K1325" t="s">
        <v>19</v>
      </c>
      <c r="L1325">
        <v>1</v>
      </c>
      <c r="M1325">
        <v>1858</v>
      </c>
      <c r="O1325">
        <v>3</v>
      </c>
      <c r="P1325">
        <v>1</v>
      </c>
      <c r="Q1325" t="s">
        <v>36</v>
      </c>
      <c r="R1325">
        <v>4</v>
      </c>
      <c r="S1325">
        <v>2706</v>
      </c>
      <c r="T1325" t="s">
        <v>21</v>
      </c>
    </row>
    <row r="1326" spans="1:20" x14ac:dyDescent="0.25">
      <c r="A1326">
        <v>29</v>
      </c>
      <c r="B1326" t="str">
        <f t="shared" si="20"/>
        <v>25-34</v>
      </c>
      <c r="C1326" t="s">
        <v>21</v>
      </c>
      <c r="F1326" t="s">
        <v>17</v>
      </c>
      <c r="G1326">
        <v>726</v>
      </c>
      <c r="H1326" t="s">
        <v>23</v>
      </c>
      <c r="I1326">
        <v>29</v>
      </c>
      <c r="J1326">
        <v>1</v>
      </c>
      <c r="K1326" t="s">
        <v>19</v>
      </c>
      <c r="L1326">
        <v>1</v>
      </c>
      <c r="M1326">
        <v>1859</v>
      </c>
      <c r="O1326">
        <v>4</v>
      </c>
      <c r="P1326">
        <v>2</v>
      </c>
      <c r="Q1326" t="s">
        <v>29</v>
      </c>
      <c r="R1326">
        <v>3</v>
      </c>
      <c r="S1326">
        <v>6384</v>
      </c>
      <c r="T1326" t="s">
        <v>21</v>
      </c>
    </row>
    <row r="1327" spans="1:20" x14ac:dyDescent="0.25">
      <c r="A1327">
        <v>42</v>
      </c>
      <c r="B1327" t="str">
        <f t="shared" si="20"/>
        <v>35-44</v>
      </c>
      <c r="C1327" t="s">
        <v>21</v>
      </c>
      <c r="F1327" t="s">
        <v>17</v>
      </c>
      <c r="G1327">
        <v>1142</v>
      </c>
      <c r="H1327" t="s">
        <v>23</v>
      </c>
      <c r="I1327">
        <v>8</v>
      </c>
      <c r="J1327">
        <v>3</v>
      </c>
      <c r="K1327" t="s">
        <v>19</v>
      </c>
      <c r="L1327">
        <v>1</v>
      </c>
      <c r="M1327">
        <v>1860</v>
      </c>
      <c r="O1327">
        <v>4</v>
      </c>
      <c r="P1327">
        <v>1</v>
      </c>
      <c r="Q1327" t="s">
        <v>26</v>
      </c>
      <c r="R1327">
        <v>3</v>
      </c>
      <c r="S1327">
        <v>3968</v>
      </c>
      <c r="T1327" t="s">
        <v>21</v>
      </c>
    </row>
    <row r="1328" spans="1:20" x14ac:dyDescent="0.25">
      <c r="A1328">
        <v>32</v>
      </c>
      <c r="B1328" t="str">
        <f t="shared" si="20"/>
        <v>25-34</v>
      </c>
      <c r="C1328" t="s">
        <v>16</v>
      </c>
      <c r="F1328" t="s">
        <v>17</v>
      </c>
      <c r="G1328">
        <v>414</v>
      </c>
      <c r="H1328" t="s">
        <v>18</v>
      </c>
      <c r="I1328">
        <v>2</v>
      </c>
      <c r="J1328">
        <v>4</v>
      </c>
      <c r="K1328" t="s">
        <v>34</v>
      </c>
      <c r="L1328">
        <v>1</v>
      </c>
      <c r="M1328">
        <v>1862</v>
      </c>
      <c r="O1328">
        <v>3</v>
      </c>
      <c r="P1328">
        <v>2</v>
      </c>
      <c r="Q1328" t="s">
        <v>20</v>
      </c>
      <c r="R1328">
        <v>2</v>
      </c>
      <c r="S1328">
        <v>9907</v>
      </c>
      <c r="T1328" t="s">
        <v>16</v>
      </c>
    </row>
    <row r="1329" spans="1:20" x14ac:dyDescent="0.25">
      <c r="A1329">
        <v>46</v>
      </c>
      <c r="B1329" t="str">
        <f t="shared" si="20"/>
        <v>45-54</v>
      </c>
      <c r="C1329" t="s">
        <v>21</v>
      </c>
      <c r="F1329" t="s">
        <v>17</v>
      </c>
      <c r="G1329">
        <v>1319</v>
      </c>
      <c r="H1329" t="s">
        <v>18</v>
      </c>
      <c r="I1329">
        <v>3</v>
      </c>
      <c r="J1329">
        <v>3</v>
      </c>
      <c r="K1329" t="s">
        <v>35</v>
      </c>
      <c r="L1329">
        <v>1</v>
      </c>
      <c r="M1329">
        <v>1863</v>
      </c>
      <c r="O1329">
        <v>1</v>
      </c>
      <c r="P1329">
        <v>4</v>
      </c>
      <c r="Q1329" t="s">
        <v>20</v>
      </c>
      <c r="R1329">
        <v>1</v>
      </c>
      <c r="S1329">
        <v>13225</v>
      </c>
      <c r="T1329" t="s">
        <v>21</v>
      </c>
    </row>
    <row r="1330" spans="1:20" x14ac:dyDescent="0.25">
      <c r="A1330">
        <v>27</v>
      </c>
      <c r="B1330" t="str">
        <f t="shared" si="20"/>
        <v>25-34</v>
      </c>
      <c r="C1330" t="s">
        <v>21</v>
      </c>
      <c r="F1330" t="s">
        <v>17</v>
      </c>
      <c r="G1330">
        <v>728</v>
      </c>
      <c r="H1330" t="s">
        <v>18</v>
      </c>
      <c r="I1330">
        <v>23</v>
      </c>
      <c r="J1330">
        <v>1</v>
      </c>
      <c r="K1330" t="s">
        <v>27</v>
      </c>
      <c r="L1330">
        <v>1</v>
      </c>
      <c r="M1330">
        <v>1864</v>
      </c>
      <c r="O1330">
        <v>2</v>
      </c>
      <c r="P1330">
        <v>2</v>
      </c>
      <c r="Q1330" t="s">
        <v>32</v>
      </c>
      <c r="R1330">
        <v>3</v>
      </c>
      <c r="S1330">
        <v>3540</v>
      </c>
      <c r="T1330" t="s">
        <v>21</v>
      </c>
    </row>
    <row r="1331" spans="1:20" x14ac:dyDescent="0.25">
      <c r="A1331">
        <v>29</v>
      </c>
      <c r="B1331" t="str">
        <f t="shared" si="20"/>
        <v>25-34</v>
      </c>
      <c r="C1331" t="s">
        <v>21</v>
      </c>
      <c r="F1331" t="s">
        <v>17</v>
      </c>
      <c r="G1331">
        <v>352</v>
      </c>
      <c r="H1331" t="s">
        <v>36</v>
      </c>
      <c r="I1331">
        <v>6</v>
      </c>
      <c r="J1331">
        <v>1</v>
      </c>
      <c r="K1331" t="s">
        <v>27</v>
      </c>
      <c r="L1331">
        <v>1</v>
      </c>
      <c r="M1331">
        <v>1865</v>
      </c>
      <c r="O1331">
        <v>4</v>
      </c>
      <c r="P1331">
        <v>1</v>
      </c>
      <c r="Q1331" t="s">
        <v>36</v>
      </c>
      <c r="R1331">
        <v>2</v>
      </c>
      <c r="S1331">
        <v>2804</v>
      </c>
      <c r="T1331" t="s">
        <v>21</v>
      </c>
    </row>
    <row r="1332" spans="1:20" x14ac:dyDescent="0.25">
      <c r="A1332">
        <v>43</v>
      </c>
      <c r="B1332" t="str">
        <f t="shared" si="20"/>
        <v>35-44</v>
      </c>
      <c r="C1332" t="s">
        <v>21</v>
      </c>
      <c r="F1332" t="s">
        <v>17</v>
      </c>
      <c r="G1332">
        <v>823</v>
      </c>
      <c r="H1332" t="s">
        <v>23</v>
      </c>
      <c r="I1332">
        <v>6</v>
      </c>
      <c r="J1332">
        <v>3</v>
      </c>
      <c r="K1332" t="s">
        <v>27</v>
      </c>
      <c r="L1332">
        <v>1</v>
      </c>
      <c r="M1332">
        <v>1866</v>
      </c>
      <c r="O1332">
        <v>1</v>
      </c>
      <c r="P1332">
        <v>5</v>
      </c>
      <c r="Q1332" t="s">
        <v>31</v>
      </c>
      <c r="R1332">
        <v>3</v>
      </c>
      <c r="S1332">
        <v>19392</v>
      </c>
      <c r="T1332" t="s">
        <v>21</v>
      </c>
    </row>
    <row r="1333" spans="1:20" x14ac:dyDescent="0.25">
      <c r="A1333">
        <v>48</v>
      </c>
      <c r="B1333" t="str">
        <f t="shared" si="20"/>
        <v>45-54</v>
      </c>
      <c r="C1333" t="s">
        <v>21</v>
      </c>
      <c r="F1333" t="s">
        <v>17</v>
      </c>
      <c r="G1333">
        <v>1224</v>
      </c>
      <c r="H1333" t="s">
        <v>23</v>
      </c>
      <c r="I1333">
        <v>10</v>
      </c>
      <c r="J1333">
        <v>3</v>
      </c>
      <c r="K1333" t="s">
        <v>19</v>
      </c>
      <c r="L1333">
        <v>1</v>
      </c>
      <c r="M1333">
        <v>1867</v>
      </c>
      <c r="O1333">
        <v>4</v>
      </c>
      <c r="P1333">
        <v>5</v>
      </c>
      <c r="Q1333" t="s">
        <v>33</v>
      </c>
      <c r="R1333">
        <v>2</v>
      </c>
      <c r="S1333">
        <v>19665</v>
      </c>
      <c r="T1333" t="s">
        <v>21</v>
      </c>
    </row>
    <row r="1334" spans="1:20" x14ac:dyDescent="0.25">
      <c r="A1334">
        <v>29</v>
      </c>
      <c r="B1334" t="str">
        <f t="shared" si="20"/>
        <v>25-34</v>
      </c>
      <c r="C1334" t="s">
        <v>16</v>
      </c>
      <c r="F1334" t="s">
        <v>22</v>
      </c>
      <c r="G1334">
        <v>459</v>
      </c>
      <c r="H1334" t="s">
        <v>23</v>
      </c>
      <c r="I1334">
        <v>24</v>
      </c>
      <c r="J1334">
        <v>2</v>
      </c>
      <c r="K1334" t="s">
        <v>19</v>
      </c>
      <c r="L1334">
        <v>1</v>
      </c>
      <c r="M1334">
        <v>1868</v>
      </c>
      <c r="O1334">
        <v>4</v>
      </c>
      <c r="P1334">
        <v>1</v>
      </c>
      <c r="Q1334" t="s">
        <v>24</v>
      </c>
      <c r="R1334">
        <v>4</v>
      </c>
      <c r="S1334">
        <v>2439</v>
      </c>
      <c r="T1334" t="s">
        <v>16</v>
      </c>
    </row>
    <row r="1335" spans="1:20" x14ac:dyDescent="0.25">
      <c r="A1335">
        <v>46</v>
      </c>
      <c r="B1335" t="str">
        <f t="shared" si="20"/>
        <v>45-54</v>
      </c>
      <c r="C1335" t="s">
        <v>16</v>
      </c>
      <c r="F1335" t="s">
        <v>17</v>
      </c>
      <c r="G1335">
        <v>1254</v>
      </c>
      <c r="H1335" t="s">
        <v>18</v>
      </c>
      <c r="I1335">
        <v>10</v>
      </c>
      <c r="J1335">
        <v>3</v>
      </c>
      <c r="K1335" t="s">
        <v>19</v>
      </c>
      <c r="L1335">
        <v>1</v>
      </c>
      <c r="M1335">
        <v>1869</v>
      </c>
      <c r="O1335">
        <v>3</v>
      </c>
      <c r="P1335">
        <v>3</v>
      </c>
      <c r="Q1335" t="s">
        <v>20</v>
      </c>
      <c r="R1335">
        <v>2</v>
      </c>
      <c r="S1335">
        <v>7314</v>
      </c>
      <c r="T1335" t="s">
        <v>21</v>
      </c>
    </row>
    <row r="1336" spans="1:20" x14ac:dyDescent="0.25">
      <c r="A1336">
        <v>27</v>
      </c>
      <c r="B1336" t="str">
        <f t="shared" si="20"/>
        <v>25-34</v>
      </c>
      <c r="C1336" t="s">
        <v>21</v>
      </c>
      <c r="F1336" t="s">
        <v>22</v>
      </c>
      <c r="G1336">
        <v>1131</v>
      </c>
      <c r="H1336" t="s">
        <v>23</v>
      </c>
      <c r="I1336">
        <v>15</v>
      </c>
      <c r="J1336">
        <v>3</v>
      </c>
      <c r="K1336" t="s">
        <v>19</v>
      </c>
      <c r="L1336">
        <v>1</v>
      </c>
      <c r="M1336">
        <v>1870</v>
      </c>
      <c r="O1336">
        <v>4</v>
      </c>
      <c r="P1336">
        <v>1</v>
      </c>
      <c r="Q1336" t="s">
        <v>24</v>
      </c>
      <c r="R1336">
        <v>1</v>
      </c>
      <c r="S1336">
        <v>4774</v>
      </c>
      <c r="T1336" t="s">
        <v>21</v>
      </c>
    </row>
    <row r="1337" spans="1:20" x14ac:dyDescent="0.25">
      <c r="A1337">
        <v>39</v>
      </c>
      <c r="B1337" t="str">
        <f t="shared" si="20"/>
        <v>35-44</v>
      </c>
      <c r="C1337" t="s">
        <v>21</v>
      </c>
      <c r="F1337" t="s">
        <v>17</v>
      </c>
      <c r="G1337">
        <v>835</v>
      </c>
      <c r="H1337" t="s">
        <v>23</v>
      </c>
      <c r="I1337">
        <v>19</v>
      </c>
      <c r="J1337">
        <v>4</v>
      </c>
      <c r="K1337" t="s">
        <v>25</v>
      </c>
      <c r="L1337">
        <v>1</v>
      </c>
      <c r="M1337">
        <v>1871</v>
      </c>
      <c r="O1337">
        <v>4</v>
      </c>
      <c r="P1337">
        <v>2</v>
      </c>
      <c r="Q1337" t="s">
        <v>24</v>
      </c>
      <c r="R1337">
        <v>4</v>
      </c>
      <c r="S1337">
        <v>3902</v>
      </c>
      <c r="T1337" t="s">
        <v>21</v>
      </c>
    </row>
    <row r="1338" spans="1:20" x14ac:dyDescent="0.25">
      <c r="A1338">
        <v>55</v>
      </c>
      <c r="B1338" t="str">
        <f t="shared" si="20"/>
        <v>55+</v>
      </c>
      <c r="C1338" t="s">
        <v>21</v>
      </c>
      <c r="F1338" t="s">
        <v>17</v>
      </c>
      <c r="G1338">
        <v>836</v>
      </c>
      <c r="H1338" t="s">
        <v>23</v>
      </c>
      <c r="I1338">
        <v>2</v>
      </c>
      <c r="J1338">
        <v>4</v>
      </c>
      <c r="K1338" t="s">
        <v>35</v>
      </c>
      <c r="L1338">
        <v>1</v>
      </c>
      <c r="M1338">
        <v>1873</v>
      </c>
      <c r="O1338">
        <v>2</v>
      </c>
      <c r="P1338">
        <v>1</v>
      </c>
      <c r="Q1338" t="s">
        <v>24</v>
      </c>
      <c r="R1338">
        <v>4</v>
      </c>
      <c r="S1338">
        <v>2662</v>
      </c>
      <c r="T1338" t="s">
        <v>21</v>
      </c>
    </row>
    <row r="1339" spans="1:20" x14ac:dyDescent="0.25">
      <c r="A1339">
        <v>28</v>
      </c>
      <c r="B1339" t="str">
        <f t="shared" si="20"/>
        <v>25-34</v>
      </c>
      <c r="C1339" t="s">
        <v>21</v>
      </c>
      <c r="F1339" t="s">
        <v>17</v>
      </c>
      <c r="G1339">
        <v>1172</v>
      </c>
      <c r="H1339" t="s">
        <v>18</v>
      </c>
      <c r="I1339">
        <v>3</v>
      </c>
      <c r="J1339">
        <v>3</v>
      </c>
      <c r="K1339" t="s">
        <v>27</v>
      </c>
      <c r="L1339">
        <v>1</v>
      </c>
      <c r="M1339">
        <v>1875</v>
      </c>
      <c r="O1339">
        <v>2</v>
      </c>
      <c r="P1339">
        <v>1</v>
      </c>
      <c r="Q1339" t="s">
        <v>32</v>
      </c>
      <c r="R1339">
        <v>2</v>
      </c>
      <c r="S1339">
        <v>2856</v>
      </c>
      <c r="T1339" t="s">
        <v>21</v>
      </c>
    </row>
    <row r="1340" spans="1:20" x14ac:dyDescent="0.25">
      <c r="A1340">
        <v>30</v>
      </c>
      <c r="B1340" t="str">
        <f t="shared" si="20"/>
        <v>25-34</v>
      </c>
      <c r="C1340" t="s">
        <v>16</v>
      </c>
      <c r="F1340" t="s">
        <v>17</v>
      </c>
      <c r="G1340">
        <v>945</v>
      </c>
      <c r="H1340" t="s">
        <v>18</v>
      </c>
      <c r="I1340">
        <v>9</v>
      </c>
      <c r="J1340">
        <v>3</v>
      </c>
      <c r="K1340" t="s">
        <v>27</v>
      </c>
      <c r="L1340">
        <v>1</v>
      </c>
      <c r="M1340">
        <v>1876</v>
      </c>
      <c r="O1340">
        <v>2</v>
      </c>
      <c r="P1340">
        <v>1</v>
      </c>
      <c r="Q1340" t="s">
        <v>32</v>
      </c>
      <c r="R1340">
        <v>4</v>
      </c>
      <c r="S1340">
        <v>1081</v>
      </c>
      <c r="T1340" t="s">
        <v>21</v>
      </c>
    </row>
    <row r="1341" spans="1:20" x14ac:dyDescent="0.25">
      <c r="A1341">
        <v>22</v>
      </c>
      <c r="B1341" t="str">
        <f t="shared" si="20"/>
        <v>18-24</v>
      </c>
      <c r="C1341" t="s">
        <v>16</v>
      </c>
      <c r="F1341" t="s">
        <v>17</v>
      </c>
      <c r="G1341">
        <v>391</v>
      </c>
      <c r="H1341" t="s">
        <v>23</v>
      </c>
      <c r="I1341">
        <v>7</v>
      </c>
      <c r="J1341">
        <v>1</v>
      </c>
      <c r="K1341" t="s">
        <v>19</v>
      </c>
      <c r="L1341">
        <v>1</v>
      </c>
      <c r="M1341">
        <v>1878</v>
      </c>
      <c r="O1341">
        <v>4</v>
      </c>
      <c r="P1341">
        <v>1</v>
      </c>
      <c r="Q1341" t="s">
        <v>24</v>
      </c>
      <c r="R1341">
        <v>2</v>
      </c>
      <c r="S1341">
        <v>2472</v>
      </c>
      <c r="T1341" t="s">
        <v>16</v>
      </c>
    </row>
    <row r="1342" spans="1:20" x14ac:dyDescent="0.25">
      <c r="A1342">
        <v>36</v>
      </c>
      <c r="B1342" t="str">
        <f t="shared" si="20"/>
        <v>35-44</v>
      </c>
      <c r="C1342" t="s">
        <v>21</v>
      </c>
      <c r="F1342" t="s">
        <v>17</v>
      </c>
      <c r="G1342">
        <v>1266</v>
      </c>
      <c r="H1342" t="s">
        <v>18</v>
      </c>
      <c r="I1342">
        <v>10</v>
      </c>
      <c r="J1342">
        <v>4</v>
      </c>
      <c r="K1342" t="s">
        <v>35</v>
      </c>
      <c r="L1342">
        <v>1</v>
      </c>
      <c r="M1342">
        <v>1880</v>
      </c>
      <c r="O1342">
        <v>2</v>
      </c>
      <c r="P1342">
        <v>2</v>
      </c>
      <c r="Q1342" t="s">
        <v>20</v>
      </c>
      <c r="R1342">
        <v>3</v>
      </c>
      <c r="S1342">
        <v>5673</v>
      </c>
      <c r="T1342" t="s">
        <v>16</v>
      </c>
    </row>
    <row r="1343" spans="1:20" x14ac:dyDescent="0.25">
      <c r="A1343">
        <v>31</v>
      </c>
      <c r="B1343" t="str">
        <f t="shared" si="20"/>
        <v>25-34</v>
      </c>
      <c r="C1343" t="s">
        <v>21</v>
      </c>
      <c r="F1343" t="s">
        <v>17</v>
      </c>
      <c r="G1343">
        <v>311</v>
      </c>
      <c r="H1343" t="s">
        <v>23</v>
      </c>
      <c r="I1343">
        <v>20</v>
      </c>
      <c r="J1343">
        <v>3</v>
      </c>
      <c r="K1343" t="s">
        <v>19</v>
      </c>
      <c r="L1343">
        <v>1</v>
      </c>
      <c r="M1343">
        <v>1881</v>
      </c>
      <c r="O1343">
        <v>2</v>
      </c>
      <c r="P1343">
        <v>2</v>
      </c>
      <c r="Q1343" t="s">
        <v>26</v>
      </c>
      <c r="R1343">
        <v>3</v>
      </c>
      <c r="S1343">
        <v>4197</v>
      </c>
      <c r="T1343" t="s">
        <v>21</v>
      </c>
    </row>
    <row r="1344" spans="1:20" x14ac:dyDescent="0.25">
      <c r="A1344">
        <v>34</v>
      </c>
      <c r="B1344" t="str">
        <f t="shared" si="20"/>
        <v>25-34</v>
      </c>
      <c r="C1344" t="s">
        <v>21</v>
      </c>
      <c r="F1344" t="s">
        <v>17</v>
      </c>
      <c r="G1344">
        <v>1480</v>
      </c>
      <c r="H1344" t="s">
        <v>18</v>
      </c>
      <c r="I1344">
        <v>4</v>
      </c>
      <c r="J1344">
        <v>3</v>
      </c>
      <c r="K1344" t="s">
        <v>19</v>
      </c>
      <c r="L1344">
        <v>1</v>
      </c>
      <c r="M1344">
        <v>1882</v>
      </c>
      <c r="O1344">
        <v>3</v>
      </c>
      <c r="P1344">
        <v>3</v>
      </c>
      <c r="Q1344" t="s">
        <v>20</v>
      </c>
      <c r="R1344">
        <v>4</v>
      </c>
      <c r="S1344">
        <v>9713</v>
      </c>
      <c r="T1344" t="s">
        <v>16</v>
      </c>
    </row>
    <row r="1345" spans="1:20" x14ac:dyDescent="0.25">
      <c r="A1345">
        <v>29</v>
      </c>
      <c r="B1345" t="str">
        <f t="shared" si="20"/>
        <v>25-34</v>
      </c>
      <c r="C1345" t="s">
        <v>21</v>
      </c>
      <c r="F1345" t="s">
        <v>17</v>
      </c>
      <c r="G1345">
        <v>592</v>
      </c>
      <c r="H1345" t="s">
        <v>23</v>
      </c>
      <c r="I1345">
        <v>7</v>
      </c>
      <c r="J1345">
        <v>3</v>
      </c>
      <c r="K1345" t="s">
        <v>19</v>
      </c>
      <c r="L1345">
        <v>1</v>
      </c>
      <c r="M1345">
        <v>1883</v>
      </c>
      <c r="O1345">
        <v>4</v>
      </c>
      <c r="P1345">
        <v>1</v>
      </c>
      <c r="Q1345" t="s">
        <v>26</v>
      </c>
      <c r="R1345">
        <v>1</v>
      </c>
      <c r="S1345">
        <v>2062</v>
      </c>
      <c r="T1345" t="s">
        <v>21</v>
      </c>
    </row>
    <row r="1346" spans="1:20" x14ac:dyDescent="0.25">
      <c r="A1346">
        <v>37</v>
      </c>
      <c r="B1346" t="str">
        <f t="shared" si="20"/>
        <v>35-44</v>
      </c>
      <c r="C1346" t="s">
        <v>21</v>
      </c>
      <c r="F1346" t="s">
        <v>17</v>
      </c>
      <c r="G1346">
        <v>783</v>
      </c>
      <c r="H1346" t="s">
        <v>23</v>
      </c>
      <c r="I1346">
        <v>7</v>
      </c>
      <c r="J1346">
        <v>4</v>
      </c>
      <c r="K1346" t="s">
        <v>27</v>
      </c>
      <c r="L1346">
        <v>1</v>
      </c>
      <c r="M1346">
        <v>1885</v>
      </c>
      <c r="O1346">
        <v>4</v>
      </c>
      <c r="P1346">
        <v>2</v>
      </c>
      <c r="Q1346" t="s">
        <v>24</v>
      </c>
      <c r="R1346">
        <v>1</v>
      </c>
      <c r="S1346">
        <v>4284</v>
      </c>
      <c r="T1346" t="s">
        <v>16</v>
      </c>
    </row>
    <row r="1347" spans="1:20" x14ac:dyDescent="0.25">
      <c r="A1347">
        <v>35</v>
      </c>
      <c r="B1347" t="str">
        <f t="shared" ref="B1347:B1410" si="21">IF(A1347&lt;=24,"18-24",IF(A1347&lt;=34,"25-34",IF(A1347&lt;=44,"35-44",IF(A1347&lt;=54,"45-54","55+"))))</f>
        <v>35-44</v>
      </c>
      <c r="C1347" t="s">
        <v>21</v>
      </c>
      <c r="F1347" t="s">
        <v>17</v>
      </c>
      <c r="G1347">
        <v>219</v>
      </c>
      <c r="H1347" t="s">
        <v>23</v>
      </c>
      <c r="I1347">
        <v>16</v>
      </c>
      <c r="J1347">
        <v>2</v>
      </c>
      <c r="K1347" t="s">
        <v>25</v>
      </c>
      <c r="L1347">
        <v>1</v>
      </c>
      <c r="M1347">
        <v>1886</v>
      </c>
      <c r="O1347">
        <v>4</v>
      </c>
      <c r="P1347">
        <v>2</v>
      </c>
      <c r="Q1347" t="s">
        <v>28</v>
      </c>
      <c r="R1347">
        <v>2</v>
      </c>
      <c r="S1347">
        <v>4788</v>
      </c>
      <c r="T1347" t="s">
        <v>16</v>
      </c>
    </row>
    <row r="1348" spans="1:20" x14ac:dyDescent="0.25">
      <c r="A1348">
        <v>45</v>
      </c>
      <c r="B1348" t="str">
        <f t="shared" si="21"/>
        <v>45-54</v>
      </c>
      <c r="C1348" t="s">
        <v>21</v>
      </c>
      <c r="F1348" t="s">
        <v>17</v>
      </c>
      <c r="G1348">
        <v>556</v>
      </c>
      <c r="H1348" t="s">
        <v>23</v>
      </c>
      <c r="I1348">
        <v>25</v>
      </c>
      <c r="J1348">
        <v>2</v>
      </c>
      <c r="K1348" t="s">
        <v>19</v>
      </c>
      <c r="L1348">
        <v>1</v>
      </c>
      <c r="M1348">
        <v>1888</v>
      </c>
      <c r="O1348">
        <v>2</v>
      </c>
      <c r="P1348">
        <v>2</v>
      </c>
      <c r="Q1348" t="s">
        <v>28</v>
      </c>
      <c r="R1348">
        <v>4</v>
      </c>
      <c r="S1348">
        <v>5906</v>
      </c>
      <c r="T1348" t="s">
        <v>21</v>
      </c>
    </row>
    <row r="1349" spans="1:20" x14ac:dyDescent="0.25">
      <c r="A1349">
        <v>36</v>
      </c>
      <c r="B1349" t="str">
        <f t="shared" si="21"/>
        <v>35-44</v>
      </c>
      <c r="C1349" t="s">
        <v>21</v>
      </c>
      <c r="F1349" t="s">
        <v>22</v>
      </c>
      <c r="G1349">
        <v>1213</v>
      </c>
      <c r="H1349" t="s">
        <v>36</v>
      </c>
      <c r="I1349">
        <v>2</v>
      </c>
      <c r="J1349">
        <v>1</v>
      </c>
      <c r="K1349" t="s">
        <v>36</v>
      </c>
      <c r="L1349">
        <v>1</v>
      </c>
      <c r="M1349">
        <v>1890</v>
      </c>
      <c r="O1349">
        <v>2</v>
      </c>
      <c r="P1349">
        <v>2</v>
      </c>
      <c r="Q1349" t="s">
        <v>36</v>
      </c>
      <c r="R1349">
        <v>4</v>
      </c>
      <c r="S1349">
        <v>3886</v>
      </c>
      <c r="T1349" t="s">
        <v>21</v>
      </c>
    </row>
    <row r="1350" spans="1:20" x14ac:dyDescent="0.25">
      <c r="A1350">
        <v>40</v>
      </c>
      <c r="B1350" t="str">
        <f t="shared" si="21"/>
        <v>35-44</v>
      </c>
      <c r="C1350" t="s">
        <v>21</v>
      </c>
      <c r="F1350" t="s">
        <v>17</v>
      </c>
      <c r="G1350">
        <v>1137</v>
      </c>
      <c r="H1350" t="s">
        <v>23</v>
      </c>
      <c r="I1350">
        <v>1</v>
      </c>
      <c r="J1350">
        <v>4</v>
      </c>
      <c r="K1350" t="s">
        <v>19</v>
      </c>
      <c r="L1350">
        <v>1</v>
      </c>
      <c r="M1350">
        <v>1892</v>
      </c>
      <c r="O1350">
        <v>1</v>
      </c>
      <c r="P1350">
        <v>4</v>
      </c>
      <c r="Q1350" t="s">
        <v>31</v>
      </c>
      <c r="R1350">
        <v>1</v>
      </c>
      <c r="S1350">
        <v>16823</v>
      </c>
      <c r="T1350" t="s">
        <v>21</v>
      </c>
    </row>
    <row r="1351" spans="1:20" x14ac:dyDescent="0.25">
      <c r="A1351">
        <v>26</v>
      </c>
      <c r="B1351" t="str">
        <f t="shared" si="21"/>
        <v>25-34</v>
      </c>
      <c r="C1351" t="s">
        <v>21</v>
      </c>
      <c r="F1351" t="s">
        <v>17</v>
      </c>
      <c r="G1351">
        <v>482</v>
      </c>
      <c r="H1351" t="s">
        <v>23</v>
      </c>
      <c r="I1351">
        <v>1</v>
      </c>
      <c r="J1351">
        <v>2</v>
      </c>
      <c r="K1351" t="s">
        <v>19</v>
      </c>
      <c r="L1351">
        <v>1</v>
      </c>
      <c r="M1351">
        <v>1893</v>
      </c>
      <c r="O1351">
        <v>2</v>
      </c>
      <c r="P1351">
        <v>1</v>
      </c>
      <c r="Q1351" t="s">
        <v>24</v>
      </c>
      <c r="R1351">
        <v>3</v>
      </c>
      <c r="S1351">
        <v>2933</v>
      </c>
      <c r="T1351" t="s">
        <v>16</v>
      </c>
    </row>
    <row r="1352" spans="1:20" x14ac:dyDescent="0.25">
      <c r="A1352">
        <v>27</v>
      </c>
      <c r="B1352" t="str">
        <f t="shared" si="21"/>
        <v>25-34</v>
      </c>
      <c r="C1352" t="s">
        <v>21</v>
      </c>
      <c r="F1352" t="s">
        <v>17</v>
      </c>
      <c r="G1352">
        <v>511</v>
      </c>
      <c r="H1352" t="s">
        <v>18</v>
      </c>
      <c r="I1352">
        <v>2</v>
      </c>
      <c r="J1352">
        <v>2</v>
      </c>
      <c r="K1352" t="s">
        <v>27</v>
      </c>
      <c r="L1352">
        <v>1</v>
      </c>
      <c r="M1352">
        <v>1898</v>
      </c>
      <c r="O1352">
        <v>1</v>
      </c>
      <c r="P1352">
        <v>2</v>
      </c>
      <c r="Q1352" t="s">
        <v>20</v>
      </c>
      <c r="R1352">
        <v>3</v>
      </c>
      <c r="S1352">
        <v>6500</v>
      </c>
      <c r="T1352" t="s">
        <v>21</v>
      </c>
    </row>
    <row r="1353" spans="1:20" x14ac:dyDescent="0.25">
      <c r="A1353">
        <v>48</v>
      </c>
      <c r="B1353" t="str">
        <f t="shared" si="21"/>
        <v>45-54</v>
      </c>
      <c r="C1353" t="s">
        <v>21</v>
      </c>
      <c r="F1353" t="s">
        <v>22</v>
      </c>
      <c r="G1353">
        <v>117</v>
      </c>
      <c r="H1353" t="s">
        <v>23</v>
      </c>
      <c r="I1353">
        <v>22</v>
      </c>
      <c r="J1353">
        <v>3</v>
      </c>
      <c r="K1353" t="s">
        <v>27</v>
      </c>
      <c r="L1353">
        <v>1</v>
      </c>
      <c r="M1353">
        <v>1900</v>
      </c>
      <c r="O1353">
        <v>4</v>
      </c>
      <c r="P1353">
        <v>4</v>
      </c>
      <c r="Q1353" t="s">
        <v>31</v>
      </c>
      <c r="R1353">
        <v>4</v>
      </c>
      <c r="S1353">
        <v>17174</v>
      </c>
      <c r="T1353" t="s">
        <v>21</v>
      </c>
    </row>
    <row r="1354" spans="1:20" x14ac:dyDescent="0.25">
      <c r="A1354">
        <v>44</v>
      </c>
      <c r="B1354" t="str">
        <f t="shared" si="21"/>
        <v>35-44</v>
      </c>
      <c r="C1354" t="s">
        <v>21</v>
      </c>
      <c r="F1354" t="s">
        <v>17</v>
      </c>
      <c r="G1354">
        <v>170</v>
      </c>
      <c r="H1354" t="s">
        <v>23</v>
      </c>
      <c r="I1354">
        <v>1</v>
      </c>
      <c r="J1354">
        <v>4</v>
      </c>
      <c r="K1354" t="s">
        <v>19</v>
      </c>
      <c r="L1354">
        <v>1</v>
      </c>
      <c r="M1354">
        <v>1903</v>
      </c>
      <c r="O1354">
        <v>2</v>
      </c>
      <c r="P1354">
        <v>2</v>
      </c>
      <c r="Q1354" t="s">
        <v>29</v>
      </c>
      <c r="R1354">
        <v>1</v>
      </c>
      <c r="S1354">
        <v>5033</v>
      </c>
      <c r="T1354" t="s">
        <v>21</v>
      </c>
    </row>
    <row r="1355" spans="1:20" x14ac:dyDescent="0.25">
      <c r="A1355">
        <v>34</v>
      </c>
      <c r="B1355" t="str">
        <f t="shared" si="21"/>
        <v>25-34</v>
      </c>
      <c r="C1355" t="s">
        <v>16</v>
      </c>
      <c r="F1355" t="s">
        <v>30</v>
      </c>
      <c r="G1355">
        <v>967</v>
      </c>
      <c r="H1355" t="s">
        <v>23</v>
      </c>
      <c r="I1355">
        <v>16</v>
      </c>
      <c r="J1355">
        <v>4</v>
      </c>
      <c r="K1355" t="s">
        <v>35</v>
      </c>
      <c r="L1355">
        <v>1</v>
      </c>
      <c r="M1355">
        <v>1905</v>
      </c>
      <c r="O1355">
        <v>4</v>
      </c>
      <c r="P1355">
        <v>1</v>
      </c>
      <c r="Q1355" t="s">
        <v>24</v>
      </c>
      <c r="R1355">
        <v>1</v>
      </c>
      <c r="S1355">
        <v>2307</v>
      </c>
      <c r="T1355" t="s">
        <v>16</v>
      </c>
    </row>
    <row r="1356" spans="1:20" x14ac:dyDescent="0.25">
      <c r="A1356">
        <v>56</v>
      </c>
      <c r="B1356" t="str">
        <f t="shared" si="21"/>
        <v>55+</v>
      </c>
      <c r="C1356" t="s">
        <v>16</v>
      </c>
      <c r="F1356" t="s">
        <v>17</v>
      </c>
      <c r="G1356">
        <v>1162</v>
      </c>
      <c r="H1356" t="s">
        <v>23</v>
      </c>
      <c r="I1356">
        <v>24</v>
      </c>
      <c r="J1356">
        <v>2</v>
      </c>
      <c r="K1356" t="s">
        <v>19</v>
      </c>
      <c r="L1356">
        <v>1</v>
      </c>
      <c r="M1356">
        <v>1907</v>
      </c>
      <c r="O1356">
        <v>1</v>
      </c>
      <c r="P1356">
        <v>1</v>
      </c>
      <c r="Q1356" t="s">
        <v>26</v>
      </c>
      <c r="R1356">
        <v>4</v>
      </c>
      <c r="S1356">
        <v>2587</v>
      </c>
      <c r="T1356" t="s">
        <v>21</v>
      </c>
    </row>
    <row r="1357" spans="1:20" x14ac:dyDescent="0.25">
      <c r="A1357">
        <v>36</v>
      </c>
      <c r="B1357" t="str">
        <f t="shared" si="21"/>
        <v>35-44</v>
      </c>
      <c r="C1357" t="s">
        <v>21</v>
      </c>
      <c r="F1357" t="s">
        <v>17</v>
      </c>
      <c r="G1357">
        <v>335</v>
      </c>
      <c r="H1357" t="s">
        <v>18</v>
      </c>
      <c r="I1357">
        <v>17</v>
      </c>
      <c r="J1357">
        <v>2</v>
      </c>
      <c r="K1357" t="s">
        <v>34</v>
      </c>
      <c r="L1357">
        <v>1</v>
      </c>
      <c r="M1357">
        <v>1908</v>
      </c>
      <c r="O1357">
        <v>3</v>
      </c>
      <c r="P1357">
        <v>2</v>
      </c>
      <c r="Q1357" t="s">
        <v>20</v>
      </c>
      <c r="R1357">
        <v>2</v>
      </c>
      <c r="S1357">
        <v>5507</v>
      </c>
      <c r="T1357" t="s">
        <v>21</v>
      </c>
    </row>
    <row r="1358" spans="1:20" x14ac:dyDescent="0.25">
      <c r="A1358">
        <v>41</v>
      </c>
      <c r="B1358" t="str">
        <f t="shared" si="21"/>
        <v>35-44</v>
      </c>
      <c r="C1358" t="s">
        <v>21</v>
      </c>
      <c r="F1358" t="s">
        <v>17</v>
      </c>
      <c r="G1358">
        <v>337</v>
      </c>
      <c r="H1358" t="s">
        <v>18</v>
      </c>
      <c r="I1358">
        <v>8</v>
      </c>
      <c r="J1358">
        <v>3</v>
      </c>
      <c r="K1358" t="s">
        <v>34</v>
      </c>
      <c r="L1358">
        <v>1</v>
      </c>
      <c r="M1358">
        <v>1909</v>
      </c>
      <c r="O1358">
        <v>3</v>
      </c>
      <c r="P1358">
        <v>2</v>
      </c>
      <c r="Q1358" t="s">
        <v>20</v>
      </c>
      <c r="R1358">
        <v>2</v>
      </c>
      <c r="S1358">
        <v>4393</v>
      </c>
      <c r="T1358" t="s">
        <v>21</v>
      </c>
    </row>
    <row r="1359" spans="1:20" x14ac:dyDescent="0.25">
      <c r="A1359">
        <v>42</v>
      </c>
      <c r="B1359" t="str">
        <f t="shared" si="21"/>
        <v>35-44</v>
      </c>
      <c r="C1359" t="s">
        <v>21</v>
      </c>
      <c r="F1359" t="s">
        <v>17</v>
      </c>
      <c r="G1359">
        <v>1396</v>
      </c>
      <c r="H1359" t="s">
        <v>23</v>
      </c>
      <c r="I1359">
        <v>6</v>
      </c>
      <c r="J1359">
        <v>3</v>
      </c>
      <c r="K1359" t="s">
        <v>27</v>
      </c>
      <c r="L1359">
        <v>1</v>
      </c>
      <c r="M1359">
        <v>1911</v>
      </c>
      <c r="O1359">
        <v>3</v>
      </c>
      <c r="P1359">
        <v>3</v>
      </c>
      <c r="Q1359" t="s">
        <v>33</v>
      </c>
      <c r="R1359">
        <v>1</v>
      </c>
      <c r="S1359">
        <v>13348</v>
      </c>
      <c r="T1359" t="s">
        <v>21</v>
      </c>
    </row>
    <row r="1360" spans="1:20" x14ac:dyDescent="0.25">
      <c r="A1360">
        <v>31</v>
      </c>
      <c r="B1360" t="str">
        <f t="shared" si="21"/>
        <v>25-34</v>
      </c>
      <c r="C1360" t="s">
        <v>21</v>
      </c>
      <c r="F1360" t="s">
        <v>17</v>
      </c>
      <c r="G1360">
        <v>1079</v>
      </c>
      <c r="H1360" t="s">
        <v>18</v>
      </c>
      <c r="I1360">
        <v>10</v>
      </c>
      <c r="J1360">
        <v>2</v>
      </c>
      <c r="K1360" t="s">
        <v>27</v>
      </c>
      <c r="L1360">
        <v>1</v>
      </c>
      <c r="M1360">
        <v>1912</v>
      </c>
      <c r="O1360">
        <v>3</v>
      </c>
      <c r="P1360">
        <v>2</v>
      </c>
      <c r="Q1360" t="s">
        <v>20</v>
      </c>
      <c r="R1360">
        <v>4</v>
      </c>
      <c r="S1360">
        <v>6583</v>
      </c>
      <c r="T1360" t="s">
        <v>16</v>
      </c>
    </row>
    <row r="1361" spans="1:20" x14ac:dyDescent="0.25">
      <c r="A1361">
        <v>34</v>
      </c>
      <c r="B1361" t="str">
        <f t="shared" si="21"/>
        <v>25-34</v>
      </c>
      <c r="C1361" t="s">
        <v>21</v>
      </c>
      <c r="F1361" t="s">
        <v>17</v>
      </c>
      <c r="G1361">
        <v>735</v>
      </c>
      <c r="H1361" t="s">
        <v>18</v>
      </c>
      <c r="I1361">
        <v>3</v>
      </c>
      <c r="J1361">
        <v>1</v>
      </c>
      <c r="K1361" t="s">
        <v>27</v>
      </c>
      <c r="L1361">
        <v>1</v>
      </c>
      <c r="M1361">
        <v>1915</v>
      </c>
      <c r="O1361">
        <v>4</v>
      </c>
      <c r="P1361">
        <v>2</v>
      </c>
      <c r="Q1361" t="s">
        <v>20</v>
      </c>
      <c r="R1361">
        <v>4</v>
      </c>
      <c r="S1361">
        <v>8103</v>
      </c>
      <c r="T1361" t="s">
        <v>16</v>
      </c>
    </row>
    <row r="1362" spans="1:20" x14ac:dyDescent="0.25">
      <c r="A1362">
        <v>31</v>
      </c>
      <c r="B1362" t="str">
        <f t="shared" si="21"/>
        <v>25-34</v>
      </c>
      <c r="C1362" t="s">
        <v>21</v>
      </c>
      <c r="F1362" t="s">
        <v>17</v>
      </c>
      <c r="G1362">
        <v>471</v>
      </c>
      <c r="H1362" t="s">
        <v>23</v>
      </c>
      <c r="I1362">
        <v>4</v>
      </c>
      <c r="J1362">
        <v>3</v>
      </c>
      <c r="K1362" t="s">
        <v>27</v>
      </c>
      <c r="L1362">
        <v>1</v>
      </c>
      <c r="M1362">
        <v>1916</v>
      </c>
      <c r="O1362">
        <v>1</v>
      </c>
      <c r="P1362">
        <v>1</v>
      </c>
      <c r="Q1362" t="s">
        <v>26</v>
      </c>
      <c r="R1362">
        <v>3</v>
      </c>
      <c r="S1362">
        <v>3978</v>
      </c>
      <c r="T1362" t="s">
        <v>21</v>
      </c>
    </row>
    <row r="1363" spans="1:20" x14ac:dyDescent="0.25">
      <c r="A1363">
        <v>26</v>
      </c>
      <c r="B1363" t="str">
        <f t="shared" si="21"/>
        <v>25-34</v>
      </c>
      <c r="C1363" t="s">
        <v>21</v>
      </c>
      <c r="F1363" t="s">
        <v>22</v>
      </c>
      <c r="G1363">
        <v>1096</v>
      </c>
      <c r="H1363" t="s">
        <v>23</v>
      </c>
      <c r="I1363">
        <v>6</v>
      </c>
      <c r="J1363">
        <v>3</v>
      </c>
      <c r="K1363" t="s">
        <v>25</v>
      </c>
      <c r="L1363">
        <v>1</v>
      </c>
      <c r="M1363">
        <v>1918</v>
      </c>
      <c r="O1363">
        <v>3</v>
      </c>
      <c r="P1363">
        <v>1</v>
      </c>
      <c r="Q1363" t="s">
        <v>26</v>
      </c>
      <c r="R1363">
        <v>4</v>
      </c>
      <c r="S1363">
        <v>2544</v>
      </c>
      <c r="T1363" t="s">
        <v>21</v>
      </c>
    </row>
    <row r="1364" spans="1:20" x14ac:dyDescent="0.25">
      <c r="A1364">
        <v>45</v>
      </c>
      <c r="B1364" t="str">
        <f t="shared" si="21"/>
        <v>45-54</v>
      </c>
      <c r="C1364" t="s">
        <v>21</v>
      </c>
      <c r="F1364" t="s">
        <v>22</v>
      </c>
      <c r="G1364">
        <v>1297</v>
      </c>
      <c r="H1364" t="s">
        <v>23</v>
      </c>
      <c r="I1364">
        <v>1</v>
      </c>
      <c r="J1364">
        <v>4</v>
      </c>
      <c r="K1364" t="s">
        <v>27</v>
      </c>
      <c r="L1364">
        <v>1</v>
      </c>
      <c r="M1364">
        <v>1922</v>
      </c>
      <c r="O1364">
        <v>2</v>
      </c>
      <c r="P1364">
        <v>2</v>
      </c>
      <c r="Q1364" t="s">
        <v>29</v>
      </c>
      <c r="R1364">
        <v>3</v>
      </c>
      <c r="S1364">
        <v>5399</v>
      </c>
      <c r="T1364" t="s">
        <v>21</v>
      </c>
    </row>
    <row r="1365" spans="1:20" x14ac:dyDescent="0.25">
      <c r="A1365">
        <v>33</v>
      </c>
      <c r="B1365" t="str">
        <f t="shared" si="21"/>
        <v>25-34</v>
      </c>
      <c r="C1365" t="s">
        <v>21</v>
      </c>
      <c r="F1365" t="s">
        <v>17</v>
      </c>
      <c r="G1365">
        <v>217</v>
      </c>
      <c r="H1365" t="s">
        <v>18</v>
      </c>
      <c r="I1365">
        <v>10</v>
      </c>
      <c r="J1365">
        <v>4</v>
      </c>
      <c r="K1365" t="s">
        <v>34</v>
      </c>
      <c r="L1365">
        <v>1</v>
      </c>
      <c r="M1365">
        <v>1924</v>
      </c>
      <c r="O1365">
        <v>2</v>
      </c>
      <c r="P1365">
        <v>2</v>
      </c>
      <c r="Q1365" t="s">
        <v>20</v>
      </c>
      <c r="R1365">
        <v>3</v>
      </c>
      <c r="S1365">
        <v>5487</v>
      </c>
      <c r="T1365" t="s">
        <v>21</v>
      </c>
    </row>
    <row r="1366" spans="1:20" x14ac:dyDescent="0.25">
      <c r="A1366">
        <v>28</v>
      </c>
      <c r="B1366" t="str">
        <f t="shared" si="21"/>
        <v>25-34</v>
      </c>
      <c r="C1366" t="s">
        <v>21</v>
      </c>
      <c r="F1366" t="s">
        <v>22</v>
      </c>
      <c r="G1366">
        <v>783</v>
      </c>
      <c r="H1366" t="s">
        <v>18</v>
      </c>
      <c r="I1366">
        <v>1</v>
      </c>
      <c r="J1366">
        <v>2</v>
      </c>
      <c r="K1366" t="s">
        <v>19</v>
      </c>
      <c r="L1366">
        <v>1</v>
      </c>
      <c r="M1366">
        <v>1927</v>
      </c>
      <c r="O1366">
        <v>3</v>
      </c>
      <c r="P1366">
        <v>2</v>
      </c>
      <c r="Q1366" t="s">
        <v>20</v>
      </c>
      <c r="R1366">
        <v>4</v>
      </c>
      <c r="S1366">
        <v>6834</v>
      </c>
      <c r="T1366" t="s">
        <v>16</v>
      </c>
    </row>
    <row r="1367" spans="1:20" x14ac:dyDescent="0.25">
      <c r="A1367">
        <v>29</v>
      </c>
      <c r="B1367" t="str">
        <f t="shared" si="21"/>
        <v>25-34</v>
      </c>
      <c r="C1367" t="s">
        <v>16</v>
      </c>
      <c r="F1367" t="s">
        <v>22</v>
      </c>
      <c r="G1367">
        <v>746</v>
      </c>
      <c r="H1367" t="s">
        <v>18</v>
      </c>
      <c r="I1367">
        <v>24</v>
      </c>
      <c r="J1367">
        <v>3</v>
      </c>
      <c r="K1367" t="s">
        <v>35</v>
      </c>
      <c r="L1367">
        <v>1</v>
      </c>
      <c r="M1367">
        <v>1928</v>
      </c>
      <c r="O1367">
        <v>3</v>
      </c>
      <c r="P1367">
        <v>1</v>
      </c>
      <c r="Q1367" t="s">
        <v>32</v>
      </c>
      <c r="R1367">
        <v>1</v>
      </c>
      <c r="S1367">
        <v>1091</v>
      </c>
      <c r="T1367" t="s">
        <v>21</v>
      </c>
    </row>
    <row r="1368" spans="1:20" x14ac:dyDescent="0.25">
      <c r="A1368">
        <v>39</v>
      </c>
      <c r="B1368" t="str">
        <f t="shared" si="21"/>
        <v>35-44</v>
      </c>
      <c r="C1368" t="s">
        <v>21</v>
      </c>
      <c r="F1368" t="s">
        <v>30</v>
      </c>
      <c r="G1368">
        <v>1251</v>
      </c>
      <c r="H1368" t="s">
        <v>18</v>
      </c>
      <c r="I1368">
        <v>21</v>
      </c>
      <c r="J1368">
        <v>4</v>
      </c>
      <c r="K1368" t="s">
        <v>19</v>
      </c>
      <c r="L1368">
        <v>1</v>
      </c>
      <c r="M1368">
        <v>1929</v>
      </c>
      <c r="O1368">
        <v>1</v>
      </c>
      <c r="P1368">
        <v>2</v>
      </c>
      <c r="Q1368" t="s">
        <v>20</v>
      </c>
      <c r="R1368">
        <v>3</v>
      </c>
      <c r="S1368">
        <v>5736</v>
      </c>
      <c r="T1368" t="s">
        <v>21</v>
      </c>
    </row>
    <row r="1369" spans="1:20" x14ac:dyDescent="0.25">
      <c r="A1369">
        <v>27</v>
      </c>
      <c r="B1369" t="str">
        <f t="shared" si="21"/>
        <v>25-34</v>
      </c>
      <c r="C1369" t="s">
        <v>21</v>
      </c>
      <c r="F1369" t="s">
        <v>17</v>
      </c>
      <c r="G1369">
        <v>1354</v>
      </c>
      <c r="H1369" t="s">
        <v>23</v>
      </c>
      <c r="I1369">
        <v>2</v>
      </c>
      <c r="J1369">
        <v>4</v>
      </c>
      <c r="K1369" t="s">
        <v>35</v>
      </c>
      <c r="L1369">
        <v>1</v>
      </c>
      <c r="M1369">
        <v>1931</v>
      </c>
      <c r="O1369">
        <v>2</v>
      </c>
      <c r="P1369">
        <v>1</v>
      </c>
      <c r="Q1369" t="s">
        <v>24</v>
      </c>
      <c r="R1369">
        <v>2</v>
      </c>
      <c r="S1369">
        <v>2226</v>
      </c>
      <c r="T1369" t="s">
        <v>21</v>
      </c>
    </row>
    <row r="1370" spans="1:20" x14ac:dyDescent="0.25">
      <c r="A1370">
        <v>34</v>
      </c>
      <c r="B1370" t="str">
        <f t="shared" si="21"/>
        <v>25-34</v>
      </c>
      <c r="C1370" t="s">
        <v>21</v>
      </c>
      <c r="F1370" t="s">
        <v>22</v>
      </c>
      <c r="G1370">
        <v>735</v>
      </c>
      <c r="H1370" t="s">
        <v>23</v>
      </c>
      <c r="I1370">
        <v>22</v>
      </c>
      <c r="J1370">
        <v>4</v>
      </c>
      <c r="K1370" t="s">
        <v>25</v>
      </c>
      <c r="L1370">
        <v>1</v>
      </c>
      <c r="M1370">
        <v>1932</v>
      </c>
      <c r="O1370">
        <v>3</v>
      </c>
      <c r="P1370">
        <v>2</v>
      </c>
      <c r="Q1370" t="s">
        <v>24</v>
      </c>
      <c r="R1370">
        <v>4</v>
      </c>
      <c r="S1370">
        <v>5747</v>
      </c>
      <c r="T1370" t="s">
        <v>16</v>
      </c>
    </row>
    <row r="1371" spans="1:20" x14ac:dyDescent="0.25">
      <c r="A1371">
        <v>28</v>
      </c>
      <c r="B1371" t="str">
        <f t="shared" si="21"/>
        <v>25-34</v>
      </c>
      <c r="C1371" t="s">
        <v>16</v>
      </c>
      <c r="F1371" t="s">
        <v>17</v>
      </c>
      <c r="G1371">
        <v>1475</v>
      </c>
      <c r="H1371" t="s">
        <v>18</v>
      </c>
      <c r="I1371">
        <v>13</v>
      </c>
      <c r="J1371">
        <v>2</v>
      </c>
      <c r="K1371" t="s">
        <v>34</v>
      </c>
      <c r="L1371">
        <v>1</v>
      </c>
      <c r="M1371">
        <v>1933</v>
      </c>
      <c r="O1371">
        <v>4</v>
      </c>
      <c r="P1371">
        <v>2</v>
      </c>
      <c r="Q1371" t="s">
        <v>20</v>
      </c>
      <c r="R1371">
        <v>3</v>
      </c>
      <c r="S1371">
        <v>9854</v>
      </c>
      <c r="T1371" t="s">
        <v>16</v>
      </c>
    </row>
    <row r="1372" spans="1:20" x14ac:dyDescent="0.25">
      <c r="A1372">
        <v>47</v>
      </c>
      <c r="B1372" t="str">
        <f t="shared" si="21"/>
        <v>45-54</v>
      </c>
      <c r="C1372" t="s">
        <v>21</v>
      </c>
      <c r="F1372" t="s">
        <v>30</v>
      </c>
      <c r="G1372">
        <v>1169</v>
      </c>
      <c r="H1372" t="s">
        <v>23</v>
      </c>
      <c r="I1372">
        <v>14</v>
      </c>
      <c r="J1372">
        <v>4</v>
      </c>
      <c r="K1372" t="s">
        <v>35</v>
      </c>
      <c r="L1372">
        <v>1</v>
      </c>
      <c r="M1372">
        <v>1934</v>
      </c>
      <c r="O1372">
        <v>3</v>
      </c>
      <c r="P1372">
        <v>2</v>
      </c>
      <c r="Q1372" t="s">
        <v>24</v>
      </c>
      <c r="R1372">
        <v>2</v>
      </c>
      <c r="S1372">
        <v>5467</v>
      </c>
      <c r="T1372" t="s">
        <v>21</v>
      </c>
    </row>
    <row r="1373" spans="1:20" x14ac:dyDescent="0.25">
      <c r="A1373">
        <v>56</v>
      </c>
      <c r="B1373" t="str">
        <f t="shared" si="21"/>
        <v>55+</v>
      </c>
      <c r="C1373" t="s">
        <v>21</v>
      </c>
      <c r="F1373" t="s">
        <v>17</v>
      </c>
      <c r="G1373">
        <v>1443</v>
      </c>
      <c r="H1373" t="s">
        <v>18</v>
      </c>
      <c r="I1373">
        <v>11</v>
      </c>
      <c r="J1373">
        <v>5</v>
      </c>
      <c r="K1373" t="s">
        <v>34</v>
      </c>
      <c r="L1373">
        <v>1</v>
      </c>
      <c r="M1373">
        <v>1935</v>
      </c>
      <c r="O1373">
        <v>4</v>
      </c>
      <c r="P1373">
        <v>2</v>
      </c>
      <c r="Q1373" t="s">
        <v>20</v>
      </c>
      <c r="R1373">
        <v>1</v>
      </c>
      <c r="S1373">
        <v>5380</v>
      </c>
      <c r="T1373" t="s">
        <v>21</v>
      </c>
    </row>
    <row r="1374" spans="1:20" x14ac:dyDescent="0.25">
      <c r="A1374">
        <v>39</v>
      </c>
      <c r="B1374" t="str">
        <f t="shared" si="21"/>
        <v>35-44</v>
      </c>
      <c r="C1374" t="s">
        <v>21</v>
      </c>
      <c r="F1374" t="s">
        <v>17</v>
      </c>
      <c r="G1374">
        <v>867</v>
      </c>
      <c r="H1374" t="s">
        <v>23</v>
      </c>
      <c r="I1374">
        <v>9</v>
      </c>
      <c r="J1374">
        <v>2</v>
      </c>
      <c r="K1374" t="s">
        <v>27</v>
      </c>
      <c r="L1374">
        <v>1</v>
      </c>
      <c r="M1374">
        <v>1936</v>
      </c>
      <c r="O1374">
        <v>1</v>
      </c>
      <c r="P1374">
        <v>2</v>
      </c>
      <c r="Q1374" t="s">
        <v>28</v>
      </c>
      <c r="R1374">
        <v>1</v>
      </c>
      <c r="S1374">
        <v>5151</v>
      </c>
      <c r="T1374" t="s">
        <v>21</v>
      </c>
    </row>
    <row r="1375" spans="1:20" x14ac:dyDescent="0.25">
      <c r="A1375">
        <v>38</v>
      </c>
      <c r="B1375" t="str">
        <f t="shared" si="21"/>
        <v>35-44</v>
      </c>
      <c r="C1375" t="s">
        <v>21</v>
      </c>
      <c r="F1375" t="s">
        <v>22</v>
      </c>
      <c r="G1375">
        <v>1394</v>
      </c>
      <c r="H1375" t="s">
        <v>23</v>
      </c>
      <c r="I1375">
        <v>8</v>
      </c>
      <c r="J1375">
        <v>3</v>
      </c>
      <c r="K1375" t="s">
        <v>27</v>
      </c>
      <c r="L1375">
        <v>1</v>
      </c>
      <c r="M1375">
        <v>1937</v>
      </c>
      <c r="O1375">
        <v>4</v>
      </c>
      <c r="P1375">
        <v>2</v>
      </c>
      <c r="Q1375" t="s">
        <v>24</v>
      </c>
      <c r="R1375">
        <v>2</v>
      </c>
      <c r="S1375">
        <v>2133</v>
      </c>
      <c r="T1375" t="s">
        <v>16</v>
      </c>
    </row>
    <row r="1376" spans="1:20" x14ac:dyDescent="0.25">
      <c r="A1376">
        <v>58</v>
      </c>
      <c r="B1376" t="str">
        <f t="shared" si="21"/>
        <v>55+</v>
      </c>
      <c r="C1376" t="s">
        <v>21</v>
      </c>
      <c r="F1376" t="s">
        <v>17</v>
      </c>
      <c r="G1376">
        <v>605</v>
      </c>
      <c r="H1376" t="s">
        <v>18</v>
      </c>
      <c r="I1376">
        <v>21</v>
      </c>
      <c r="J1376">
        <v>3</v>
      </c>
      <c r="K1376" t="s">
        <v>19</v>
      </c>
      <c r="L1376">
        <v>1</v>
      </c>
      <c r="M1376">
        <v>1938</v>
      </c>
      <c r="O1376">
        <v>4</v>
      </c>
      <c r="P1376">
        <v>4</v>
      </c>
      <c r="Q1376" t="s">
        <v>31</v>
      </c>
      <c r="R1376">
        <v>4</v>
      </c>
      <c r="S1376">
        <v>17875</v>
      </c>
      <c r="T1376" t="s">
        <v>16</v>
      </c>
    </row>
    <row r="1377" spans="1:20" x14ac:dyDescent="0.25">
      <c r="A1377">
        <v>32</v>
      </c>
      <c r="B1377" t="str">
        <f t="shared" si="21"/>
        <v>25-34</v>
      </c>
      <c r="C1377" t="s">
        <v>16</v>
      </c>
      <c r="F1377" t="s">
        <v>22</v>
      </c>
      <c r="G1377">
        <v>238</v>
      </c>
      <c r="H1377" t="s">
        <v>23</v>
      </c>
      <c r="I1377">
        <v>5</v>
      </c>
      <c r="J1377">
        <v>2</v>
      </c>
      <c r="K1377" t="s">
        <v>19</v>
      </c>
      <c r="L1377">
        <v>1</v>
      </c>
      <c r="M1377">
        <v>1939</v>
      </c>
      <c r="O1377">
        <v>1</v>
      </c>
      <c r="P1377">
        <v>1</v>
      </c>
      <c r="Q1377" t="s">
        <v>24</v>
      </c>
      <c r="R1377">
        <v>3</v>
      </c>
      <c r="S1377">
        <v>2432</v>
      </c>
      <c r="T1377" t="s">
        <v>16</v>
      </c>
    </row>
    <row r="1378" spans="1:20" x14ac:dyDescent="0.25">
      <c r="A1378">
        <v>38</v>
      </c>
      <c r="B1378" t="str">
        <f t="shared" si="21"/>
        <v>35-44</v>
      </c>
      <c r="C1378" t="s">
        <v>21</v>
      </c>
      <c r="F1378" t="s">
        <v>17</v>
      </c>
      <c r="G1378">
        <v>1206</v>
      </c>
      <c r="H1378" t="s">
        <v>23</v>
      </c>
      <c r="I1378">
        <v>9</v>
      </c>
      <c r="J1378">
        <v>2</v>
      </c>
      <c r="K1378" t="s">
        <v>19</v>
      </c>
      <c r="L1378">
        <v>1</v>
      </c>
      <c r="M1378">
        <v>1940</v>
      </c>
      <c r="O1378">
        <v>2</v>
      </c>
      <c r="P1378">
        <v>1</v>
      </c>
      <c r="Q1378" t="s">
        <v>24</v>
      </c>
      <c r="R1378">
        <v>4</v>
      </c>
      <c r="S1378">
        <v>4771</v>
      </c>
      <c r="T1378" t="s">
        <v>21</v>
      </c>
    </row>
    <row r="1379" spans="1:20" x14ac:dyDescent="0.25">
      <c r="A1379">
        <v>49</v>
      </c>
      <c r="B1379" t="str">
        <f t="shared" si="21"/>
        <v>45-54</v>
      </c>
      <c r="C1379" t="s">
        <v>21</v>
      </c>
      <c r="F1379" t="s">
        <v>22</v>
      </c>
      <c r="G1379">
        <v>1064</v>
      </c>
      <c r="H1379" t="s">
        <v>23</v>
      </c>
      <c r="I1379">
        <v>2</v>
      </c>
      <c r="J1379">
        <v>1</v>
      </c>
      <c r="K1379" t="s">
        <v>19</v>
      </c>
      <c r="L1379">
        <v>1</v>
      </c>
      <c r="M1379">
        <v>1941</v>
      </c>
      <c r="O1379">
        <v>2</v>
      </c>
      <c r="P1379">
        <v>5</v>
      </c>
      <c r="Q1379" t="s">
        <v>33</v>
      </c>
      <c r="R1379">
        <v>4</v>
      </c>
      <c r="S1379">
        <v>19161</v>
      </c>
      <c r="T1379" t="s">
        <v>21</v>
      </c>
    </row>
    <row r="1380" spans="1:20" x14ac:dyDescent="0.25">
      <c r="A1380">
        <v>42</v>
      </c>
      <c r="B1380" t="str">
        <f t="shared" si="21"/>
        <v>35-44</v>
      </c>
      <c r="C1380" t="s">
        <v>21</v>
      </c>
      <c r="F1380" t="s">
        <v>17</v>
      </c>
      <c r="G1380">
        <v>419</v>
      </c>
      <c r="H1380" t="s">
        <v>18</v>
      </c>
      <c r="I1380">
        <v>12</v>
      </c>
      <c r="J1380">
        <v>4</v>
      </c>
      <c r="K1380" t="s">
        <v>34</v>
      </c>
      <c r="L1380">
        <v>1</v>
      </c>
      <c r="M1380">
        <v>1943</v>
      </c>
      <c r="O1380">
        <v>2</v>
      </c>
      <c r="P1380">
        <v>2</v>
      </c>
      <c r="Q1380" t="s">
        <v>20</v>
      </c>
      <c r="R1380">
        <v>4</v>
      </c>
      <c r="S1380">
        <v>5087</v>
      </c>
      <c r="T1380" t="s">
        <v>16</v>
      </c>
    </row>
    <row r="1381" spans="1:20" x14ac:dyDescent="0.25">
      <c r="A1381">
        <v>27</v>
      </c>
      <c r="B1381" t="str">
        <f t="shared" si="21"/>
        <v>25-34</v>
      </c>
      <c r="C1381" t="s">
        <v>16</v>
      </c>
      <c r="F1381" t="s">
        <v>22</v>
      </c>
      <c r="G1381">
        <v>1337</v>
      </c>
      <c r="H1381" t="s">
        <v>36</v>
      </c>
      <c r="I1381">
        <v>22</v>
      </c>
      <c r="J1381">
        <v>3</v>
      </c>
      <c r="K1381" t="s">
        <v>36</v>
      </c>
      <c r="L1381">
        <v>1</v>
      </c>
      <c r="M1381">
        <v>1944</v>
      </c>
      <c r="O1381">
        <v>1</v>
      </c>
      <c r="P1381">
        <v>1</v>
      </c>
      <c r="Q1381" t="s">
        <v>36</v>
      </c>
      <c r="R1381">
        <v>2</v>
      </c>
      <c r="S1381">
        <v>2863</v>
      </c>
      <c r="T1381" t="s">
        <v>21</v>
      </c>
    </row>
    <row r="1382" spans="1:20" x14ac:dyDescent="0.25">
      <c r="A1382">
        <v>35</v>
      </c>
      <c r="B1382" t="str">
        <f t="shared" si="21"/>
        <v>35-44</v>
      </c>
      <c r="C1382" t="s">
        <v>21</v>
      </c>
      <c r="F1382" t="s">
        <v>17</v>
      </c>
      <c r="G1382">
        <v>682</v>
      </c>
      <c r="H1382" t="s">
        <v>18</v>
      </c>
      <c r="I1382">
        <v>18</v>
      </c>
      <c r="J1382">
        <v>4</v>
      </c>
      <c r="K1382" t="s">
        <v>27</v>
      </c>
      <c r="L1382">
        <v>1</v>
      </c>
      <c r="M1382">
        <v>1945</v>
      </c>
      <c r="O1382">
        <v>2</v>
      </c>
      <c r="P1382">
        <v>2</v>
      </c>
      <c r="Q1382" t="s">
        <v>20</v>
      </c>
      <c r="R1382">
        <v>1</v>
      </c>
      <c r="S1382">
        <v>5561</v>
      </c>
      <c r="T1382" t="s">
        <v>21</v>
      </c>
    </row>
    <row r="1383" spans="1:20" x14ac:dyDescent="0.25">
      <c r="A1383">
        <v>28</v>
      </c>
      <c r="B1383" t="str">
        <f t="shared" si="21"/>
        <v>25-34</v>
      </c>
      <c r="C1383" t="s">
        <v>21</v>
      </c>
      <c r="F1383" t="s">
        <v>30</v>
      </c>
      <c r="G1383">
        <v>1103</v>
      </c>
      <c r="H1383" t="s">
        <v>23</v>
      </c>
      <c r="I1383">
        <v>16</v>
      </c>
      <c r="J1383">
        <v>3</v>
      </c>
      <c r="K1383" t="s">
        <v>27</v>
      </c>
      <c r="L1383">
        <v>1</v>
      </c>
      <c r="M1383">
        <v>1947</v>
      </c>
      <c r="O1383">
        <v>3</v>
      </c>
      <c r="P1383">
        <v>1</v>
      </c>
      <c r="Q1383" t="s">
        <v>24</v>
      </c>
      <c r="R1383">
        <v>3</v>
      </c>
      <c r="S1383">
        <v>2144</v>
      </c>
      <c r="T1383" t="s">
        <v>21</v>
      </c>
    </row>
    <row r="1384" spans="1:20" x14ac:dyDescent="0.25">
      <c r="A1384">
        <v>31</v>
      </c>
      <c r="B1384" t="str">
        <f t="shared" si="21"/>
        <v>25-34</v>
      </c>
      <c r="C1384" t="s">
        <v>21</v>
      </c>
      <c r="F1384" t="s">
        <v>30</v>
      </c>
      <c r="G1384">
        <v>976</v>
      </c>
      <c r="H1384" t="s">
        <v>23</v>
      </c>
      <c r="I1384">
        <v>3</v>
      </c>
      <c r="J1384">
        <v>2</v>
      </c>
      <c r="K1384" t="s">
        <v>27</v>
      </c>
      <c r="L1384">
        <v>1</v>
      </c>
      <c r="M1384">
        <v>1948</v>
      </c>
      <c r="O1384">
        <v>3</v>
      </c>
      <c r="P1384">
        <v>1</v>
      </c>
      <c r="Q1384" t="s">
        <v>24</v>
      </c>
      <c r="R1384">
        <v>1</v>
      </c>
      <c r="S1384">
        <v>3065</v>
      </c>
      <c r="T1384" t="s">
        <v>16</v>
      </c>
    </row>
    <row r="1385" spans="1:20" x14ac:dyDescent="0.25">
      <c r="A1385">
        <v>36</v>
      </c>
      <c r="B1385" t="str">
        <f t="shared" si="21"/>
        <v>35-44</v>
      </c>
      <c r="C1385" t="s">
        <v>21</v>
      </c>
      <c r="F1385" t="s">
        <v>30</v>
      </c>
      <c r="G1385">
        <v>1351</v>
      </c>
      <c r="H1385" t="s">
        <v>23</v>
      </c>
      <c r="I1385">
        <v>9</v>
      </c>
      <c r="J1385">
        <v>4</v>
      </c>
      <c r="K1385" t="s">
        <v>19</v>
      </c>
      <c r="L1385">
        <v>1</v>
      </c>
      <c r="M1385">
        <v>1949</v>
      </c>
      <c r="O1385">
        <v>1</v>
      </c>
      <c r="P1385">
        <v>1</v>
      </c>
      <c r="Q1385" t="s">
        <v>26</v>
      </c>
      <c r="R1385">
        <v>2</v>
      </c>
      <c r="S1385">
        <v>2810</v>
      </c>
      <c r="T1385" t="s">
        <v>21</v>
      </c>
    </row>
    <row r="1386" spans="1:20" x14ac:dyDescent="0.25">
      <c r="A1386">
        <v>34</v>
      </c>
      <c r="B1386" t="str">
        <f t="shared" si="21"/>
        <v>25-34</v>
      </c>
      <c r="C1386" t="s">
        <v>21</v>
      </c>
      <c r="F1386" t="s">
        <v>17</v>
      </c>
      <c r="G1386">
        <v>937</v>
      </c>
      <c r="H1386" t="s">
        <v>18</v>
      </c>
      <c r="I1386">
        <v>1</v>
      </c>
      <c r="J1386">
        <v>3</v>
      </c>
      <c r="K1386" t="s">
        <v>34</v>
      </c>
      <c r="L1386">
        <v>1</v>
      </c>
      <c r="M1386">
        <v>1950</v>
      </c>
      <c r="O1386">
        <v>1</v>
      </c>
      <c r="P1386">
        <v>3</v>
      </c>
      <c r="Q1386" t="s">
        <v>20</v>
      </c>
      <c r="R1386">
        <v>4</v>
      </c>
      <c r="S1386">
        <v>9888</v>
      </c>
      <c r="T1386" t="s">
        <v>21</v>
      </c>
    </row>
    <row r="1387" spans="1:20" x14ac:dyDescent="0.25">
      <c r="A1387">
        <v>34</v>
      </c>
      <c r="B1387" t="str">
        <f t="shared" si="21"/>
        <v>25-34</v>
      </c>
      <c r="C1387" t="s">
        <v>21</v>
      </c>
      <c r="F1387" t="s">
        <v>17</v>
      </c>
      <c r="G1387">
        <v>1239</v>
      </c>
      <c r="H1387" t="s">
        <v>18</v>
      </c>
      <c r="I1387">
        <v>13</v>
      </c>
      <c r="J1387">
        <v>4</v>
      </c>
      <c r="K1387" t="s">
        <v>27</v>
      </c>
      <c r="L1387">
        <v>1</v>
      </c>
      <c r="M1387">
        <v>1951</v>
      </c>
      <c r="O1387">
        <v>4</v>
      </c>
      <c r="P1387">
        <v>3</v>
      </c>
      <c r="Q1387" t="s">
        <v>20</v>
      </c>
      <c r="R1387">
        <v>3</v>
      </c>
      <c r="S1387">
        <v>8628</v>
      </c>
      <c r="T1387" t="s">
        <v>21</v>
      </c>
    </row>
    <row r="1388" spans="1:20" x14ac:dyDescent="0.25">
      <c r="A1388">
        <v>26</v>
      </c>
      <c r="B1388" t="str">
        <f t="shared" si="21"/>
        <v>25-34</v>
      </c>
      <c r="C1388" t="s">
        <v>21</v>
      </c>
      <c r="F1388" t="s">
        <v>17</v>
      </c>
      <c r="G1388">
        <v>157</v>
      </c>
      <c r="H1388" t="s">
        <v>23</v>
      </c>
      <c r="I1388">
        <v>1</v>
      </c>
      <c r="J1388">
        <v>3</v>
      </c>
      <c r="K1388" t="s">
        <v>27</v>
      </c>
      <c r="L1388">
        <v>1</v>
      </c>
      <c r="M1388">
        <v>1952</v>
      </c>
      <c r="O1388">
        <v>3</v>
      </c>
      <c r="P1388">
        <v>1</v>
      </c>
      <c r="Q1388" t="s">
        <v>26</v>
      </c>
      <c r="R1388">
        <v>1</v>
      </c>
      <c r="S1388">
        <v>2867</v>
      </c>
      <c r="T1388" t="s">
        <v>21</v>
      </c>
    </row>
    <row r="1389" spans="1:20" x14ac:dyDescent="0.25">
      <c r="A1389">
        <v>29</v>
      </c>
      <c r="B1389" t="str">
        <f t="shared" si="21"/>
        <v>25-34</v>
      </c>
      <c r="C1389" t="s">
        <v>21</v>
      </c>
      <c r="F1389" t="s">
        <v>17</v>
      </c>
      <c r="G1389">
        <v>136</v>
      </c>
      <c r="H1389" t="s">
        <v>23</v>
      </c>
      <c r="I1389">
        <v>1</v>
      </c>
      <c r="J1389">
        <v>3</v>
      </c>
      <c r="K1389" t="s">
        <v>19</v>
      </c>
      <c r="L1389">
        <v>1</v>
      </c>
      <c r="M1389">
        <v>1954</v>
      </c>
      <c r="O1389">
        <v>1</v>
      </c>
      <c r="P1389">
        <v>2</v>
      </c>
      <c r="Q1389" t="s">
        <v>29</v>
      </c>
      <c r="R1389">
        <v>1</v>
      </c>
      <c r="S1389">
        <v>5373</v>
      </c>
      <c r="T1389" t="s">
        <v>21</v>
      </c>
    </row>
    <row r="1390" spans="1:20" x14ac:dyDescent="0.25">
      <c r="A1390">
        <v>32</v>
      </c>
      <c r="B1390" t="str">
        <f t="shared" si="21"/>
        <v>25-34</v>
      </c>
      <c r="C1390" t="s">
        <v>21</v>
      </c>
      <c r="F1390" t="s">
        <v>30</v>
      </c>
      <c r="G1390">
        <v>1146</v>
      </c>
      <c r="H1390" t="s">
        <v>23</v>
      </c>
      <c r="I1390">
        <v>15</v>
      </c>
      <c r="J1390">
        <v>4</v>
      </c>
      <c r="K1390" t="s">
        <v>27</v>
      </c>
      <c r="L1390">
        <v>1</v>
      </c>
      <c r="M1390">
        <v>1955</v>
      </c>
      <c r="O1390">
        <v>3</v>
      </c>
      <c r="P1390">
        <v>2</v>
      </c>
      <c r="Q1390" t="s">
        <v>29</v>
      </c>
      <c r="R1390">
        <v>4</v>
      </c>
      <c r="S1390">
        <v>6667</v>
      </c>
      <c r="T1390" t="s">
        <v>21</v>
      </c>
    </row>
    <row r="1391" spans="1:20" x14ac:dyDescent="0.25">
      <c r="A1391">
        <v>31</v>
      </c>
      <c r="B1391" t="str">
        <f t="shared" si="21"/>
        <v>25-34</v>
      </c>
      <c r="C1391" t="s">
        <v>21</v>
      </c>
      <c r="F1391" t="s">
        <v>22</v>
      </c>
      <c r="G1391">
        <v>1125</v>
      </c>
      <c r="H1391" t="s">
        <v>23</v>
      </c>
      <c r="I1391">
        <v>1</v>
      </c>
      <c r="J1391">
        <v>3</v>
      </c>
      <c r="K1391" t="s">
        <v>19</v>
      </c>
      <c r="L1391">
        <v>1</v>
      </c>
      <c r="M1391">
        <v>1956</v>
      </c>
      <c r="O1391">
        <v>4</v>
      </c>
      <c r="P1391">
        <v>2</v>
      </c>
      <c r="Q1391" t="s">
        <v>24</v>
      </c>
      <c r="R1391">
        <v>1</v>
      </c>
      <c r="S1391">
        <v>5003</v>
      </c>
      <c r="T1391" t="s">
        <v>21</v>
      </c>
    </row>
    <row r="1392" spans="1:20" x14ac:dyDescent="0.25">
      <c r="A1392">
        <v>28</v>
      </c>
      <c r="B1392" t="str">
        <f t="shared" si="21"/>
        <v>25-34</v>
      </c>
      <c r="C1392" t="s">
        <v>16</v>
      </c>
      <c r="F1392" t="s">
        <v>17</v>
      </c>
      <c r="G1392">
        <v>1404</v>
      </c>
      <c r="H1392" t="s">
        <v>23</v>
      </c>
      <c r="I1392">
        <v>17</v>
      </c>
      <c r="J1392">
        <v>3</v>
      </c>
      <c r="K1392" t="s">
        <v>35</v>
      </c>
      <c r="L1392">
        <v>1</v>
      </c>
      <c r="M1392">
        <v>1960</v>
      </c>
      <c r="O1392">
        <v>3</v>
      </c>
      <c r="P1392">
        <v>1</v>
      </c>
      <c r="Q1392" t="s">
        <v>26</v>
      </c>
      <c r="R1392">
        <v>4</v>
      </c>
      <c r="S1392">
        <v>2367</v>
      </c>
      <c r="T1392" t="s">
        <v>21</v>
      </c>
    </row>
    <row r="1393" spans="1:20" x14ac:dyDescent="0.25">
      <c r="A1393">
        <v>38</v>
      </c>
      <c r="B1393" t="str">
        <f t="shared" si="21"/>
        <v>35-44</v>
      </c>
      <c r="C1393" t="s">
        <v>21</v>
      </c>
      <c r="F1393" t="s">
        <v>17</v>
      </c>
      <c r="G1393">
        <v>1404</v>
      </c>
      <c r="H1393" t="s">
        <v>18</v>
      </c>
      <c r="I1393">
        <v>1</v>
      </c>
      <c r="J1393">
        <v>3</v>
      </c>
      <c r="K1393" t="s">
        <v>19</v>
      </c>
      <c r="L1393">
        <v>1</v>
      </c>
      <c r="M1393">
        <v>1961</v>
      </c>
      <c r="O1393">
        <v>1</v>
      </c>
      <c r="P1393">
        <v>1</v>
      </c>
      <c r="Q1393" t="s">
        <v>32</v>
      </c>
      <c r="R1393">
        <v>1</v>
      </c>
      <c r="S1393">
        <v>2858</v>
      </c>
      <c r="T1393" t="s">
        <v>21</v>
      </c>
    </row>
    <row r="1394" spans="1:20" x14ac:dyDescent="0.25">
      <c r="A1394">
        <v>35</v>
      </c>
      <c r="B1394" t="str">
        <f t="shared" si="21"/>
        <v>35-44</v>
      </c>
      <c r="C1394" t="s">
        <v>21</v>
      </c>
      <c r="F1394" t="s">
        <v>17</v>
      </c>
      <c r="G1394">
        <v>1224</v>
      </c>
      <c r="H1394" t="s">
        <v>18</v>
      </c>
      <c r="I1394">
        <v>7</v>
      </c>
      <c r="J1394">
        <v>4</v>
      </c>
      <c r="K1394" t="s">
        <v>19</v>
      </c>
      <c r="L1394">
        <v>1</v>
      </c>
      <c r="M1394">
        <v>1962</v>
      </c>
      <c r="O1394">
        <v>3</v>
      </c>
      <c r="P1394">
        <v>2</v>
      </c>
      <c r="Q1394" t="s">
        <v>20</v>
      </c>
      <c r="R1394">
        <v>4</v>
      </c>
      <c r="S1394">
        <v>5204</v>
      </c>
      <c r="T1394" t="s">
        <v>16</v>
      </c>
    </row>
    <row r="1395" spans="1:20" x14ac:dyDescent="0.25">
      <c r="A1395">
        <v>27</v>
      </c>
      <c r="B1395" t="str">
        <f t="shared" si="21"/>
        <v>25-34</v>
      </c>
      <c r="C1395" t="s">
        <v>21</v>
      </c>
      <c r="F1395" t="s">
        <v>17</v>
      </c>
      <c r="G1395">
        <v>954</v>
      </c>
      <c r="H1395" t="s">
        <v>18</v>
      </c>
      <c r="I1395">
        <v>9</v>
      </c>
      <c r="J1395">
        <v>3</v>
      </c>
      <c r="K1395" t="s">
        <v>34</v>
      </c>
      <c r="L1395">
        <v>1</v>
      </c>
      <c r="M1395">
        <v>1965</v>
      </c>
      <c r="O1395">
        <v>4</v>
      </c>
      <c r="P1395">
        <v>2</v>
      </c>
      <c r="Q1395" t="s">
        <v>20</v>
      </c>
      <c r="R1395">
        <v>4</v>
      </c>
      <c r="S1395">
        <v>4105</v>
      </c>
      <c r="T1395" t="s">
        <v>21</v>
      </c>
    </row>
    <row r="1396" spans="1:20" x14ac:dyDescent="0.25">
      <c r="A1396">
        <v>32</v>
      </c>
      <c r="B1396" t="str">
        <f t="shared" si="21"/>
        <v>25-34</v>
      </c>
      <c r="C1396" t="s">
        <v>21</v>
      </c>
      <c r="F1396" t="s">
        <v>17</v>
      </c>
      <c r="G1396">
        <v>1373</v>
      </c>
      <c r="H1396" t="s">
        <v>23</v>
      </c>
      <c r="I1396">
        <v>5</v>
      </c>
      <c r="J1396">
        <v>4</v>
      </c>
      <c r="K1396" t="s">
        <v>19</v>
      </c>
      <c r="L1396">
        <v>1</v>
      </c>
      <c r="M1396">
        <v>1966</v>
      </c>
      <c r="O1396">
        <v>4</v>
      </c>
      <c r="P1396">
        <v>2</v>
      </c>
      <c r="Q1396" t="s">
        <v>28</v>
      </c>
      <c r="R1396">
        <v>4</v>
      </c>
      <c r="S1396">
        <v>9679</v>
      </c>
      <c r="T1396" t="s">
        <v>21</v>
      </c>
    </row>
    <row r="1397" spans="1:20" x14ac:dyDescent="0.25">
      <c r="A1397">
        <v>31</v>
      </c>
      <c r="B1397" t="str">
        <f t="shared" si="21"/>
        <v>25-34</v>
      </c>
      <c r="C1397" t="s">
        <v>16</v>
      </c>
      <c r="F1397" t="s">
        <v>22</v>
      </c>
      <c r="G1397">
        <v>754</v>
      </c>
      <c r="H1397" t="s">
        <v>18</v>
      </c>
      <c r="I1397">
        <v>26</v>
      </c>
      <c r="J1397">
        <v>4</v>
      </c>
      <c r="K1397" t="s">
        <v>34</v>
      </c>
      <c r="L1397">
        <v>1</v>
      </c>
      <c r="M1397">
        <v>1967</v>
      </c>
      <c r="O1397">
        <v>1</v>
      </c>
      <c r="P1397">
        <v>2</v>
      </c>
      <c r="Q1397" t="s">
        <v>20</v>
      </c>
      <c r="R1397">
        <v>4</v>
      </c>
      <c r="S1397">
        <v>5617</v>
      </c>
      <c r="T1397" t="s">
        <v>16</v>
      </c>
    </row>
    <row r="1398" spans="1:20" x14ac:dyDescent="0.25">
      <c r="A1398">
        <v>53</v>
      </c>
      <c r="B1398" t="str">
        <f t="shared" si="21"/>
        <v>45-54</v>
      </c>
      <c r="C1398" t="s">
        <v>16</v>
      </c>
      <c r="F1398" t="s">
        <v>17</v>
      </c>
      <c r="G1398">
        <v>1168</v>
      </c>
      <c r="H1398" t="s">
        <v>18</v>
      </c>
      <c r="I1398">
        <v>24</v>
      </c>
      <c r="J1398">
        <v>4</v>
      </c>
      <c r="K1398" t="s">
        <v>19</v>
      </c>
      <c r="L1398">
        <v>1</v>
      </c>
      <c r="M1398">
        <v>1968</v>
      </c>
      <c r="O1398">
        <v>1</v>
      </c>
      <c r="P1398">
        <v>3</v>
      </c>
      <c r="Q1398" t="s">
        <v>20</v>
      </c>
      <c r="R1398">
        <v>1</v>
      </c>
      <c r="S1398">
        <v>10448</v>
      </c>
      <c r="T1398" t="s">
        <v>16</v>
      </c>
    </row>
    <row r="1399" spans="1:20" x14ac:dyDescent="0.25">
      <c r="A1399">
        <v>54</v>
      </c>
      <c r="B1399" t="str">
        <f t="shared" si="21"/>
        <v>45-54</v>
      </c>
      <c r="C1399" t="s">
        <v>21</v>
      </c>
      <c r="F1399" t="s">
        <v>17</v>
      </c>
      <c r="G1399">
        <v>155</v>
      </c>
      <c r="H1399" t="s">
        <v>23</v>
      </c>
      <c r="I1399">
        <v>9</v>
      </c>
      <c r="J1399">
        <v>2</v>
      </c>
      <c r="K1399" t="s">
        <v>19</v>
      </c>
      <c r="L1399">
        <v>1</v>
      </c>
      <c r="M1399">
        <v>1969</v>
      </c>
      <c r="O1399">
        <v>1</v>
      </c>
      <c r="P1399">
        <v>2</v>
      </c>
      <c r="Q1399" t="s">
        <v>24</v>
      </c>
      <c r="R1399">
        <v>3</v>
      </c>
      <c r="S1399">
        <v>2897</v>
      </c>
      <c r="T1399" t="s">
        <v>21</v>
      </c>
    </row>
    <row r="1400" spans="1:20" x14ac:dyDescent="0.25">
      <c r="A1400">
        <v>33</v>
      </c>
      <c r="B1400" t="str">
        <f t="shared" si="21"/>
        <v>25-34</v>
      </c>
      <c r="C1400" t="s">
        <v>21</v>
      </c>
      <c r="F1400" t="s">
        <v>22</v>
      </c>
      <c r="G1400">
        <v>1303</v>
      </c>
      <c r="H1400" t="s">
        <v>23</v>
      </c>
      <c r="I1400">
        <v>7</v>
      </c>
      <c r="J1400">
        <v>2</v>
      </c>
      <c r="K1400" t="s">
        <v>19</v>
      </c>
      <c r="L1400">
        <v>1</v>
      </c>
      <c r="M1400">
        <v>1970</v>
      </c>
      <c r="O1400">
        <v>4</v>
      </c>
      <c r="P1400">
        <v>2</v>
      </c>
      <c r="Q1400" t="s">
        <v>29</v>
      </c>
      <c r="R1400">
        <v>3</v>
      </c>
      <c r="S1400">
        <v>5968</v>
      </c>
      <c r="T1400" t="s">
        <v>21</v>
      </c>
    </row>
    <row r="1401" spans="1:20" x14ac:dyDescent="0.25">
      <c r="A1401">
        <v>43</v>
      </c>
      <c r="B1401" t="str">
        <f t="shared" si="21"/>
        <v>35-44</v>
      </c>
      <c r="C1401" t="s">
        <v>21</v>
      </c>
      <c r="F1401" t="s">
        <v>17</v>
      </c>
      <c r="G1401">
        <v>574</v>
      </c>
      <c r="H1401" t="s">
        <v>23</v>
      </c>
      <c r="I1401">
        <v>11</v>
      </c>
      <c r="J1401">
        <v>3</v>
      </c>
      <c r="K1401" t="s">
        <v>19</v>
      </c>
      <c r="L1401">
        <v>1</v>
      </c>
      <c r="M1401">
        <v>1971</v>
      </c>
      <c r="O1401">
        <v>1</v>
      </c>
      <c r="P1401">
        <v>3</v>
      </c>
      <c r="Q1401" t="s">
        <v>29</v>
      </c>
      <c r="R1401">
        <v>3</v>
      </c>
      <c r="S1401">
        <v>7510</v>
      </c>
      <c r="T1401" t="s">
        <v>21</v>
      </c>
    </row>
    <row r="1402" spans="1:20" x14ac:dyDescent="0.25">
      <c r="A1402">
        <v>38</v>
      </c>
      <c r="B1402" t="str">
        <f t="shared" si="21"/>
        <v>35-44</v>
      </c>
      <c r="C1402" t="s">
        <v>21</v>
      </c>
      <c r="F1402" t="s">
        <v>22</v>
      </c>
      <c r="G1402">
        <v>1444</v>
      </c>
      <c r="H1402" t="s">
        <v>36</v>
      </c>
      <c r="I1402">
        <v>1</v>
      </c>
      <c r="J1402">
        <v>4</v>
      </c>
      <c r="K1402" t="s">
        <v>25</v>
      </c>
      <c r="L1402">
        <v>1</v>
      </c>
      <c r="M1402">
        <v>1972</v>
      </c>
      <c r="O1402">
        <v>4</v>
      </c>
      <c r="P1402">
        <v>1</v>
      </c>
      <c r="Q1402" t="s">
        <v>36</v>
      </c>
      <c r="R1402">
        <v>2</v>
      </c>
      <c r="S1402">
        <v>2991</v>
      </c>
      <c r="T1402" t="s">
        <v>16</v>
      </c>
    </row>
    <row r="1403" spans="1:20" x14ac:dyDescent="0.25">
      <c r="A1403">
        <v>55</v>
      </c>
      <c r="B1403" t="str">
        <f t="shared" si="21"/>
        <v>55+</v>
      </c>
      <c r="C1403" t="s">
        <v>21</v>
      </c>
      <c r="F1403" t="s">
        <v>17</v>
      </c>
      <c r="G1403">
        <v>189</v>
      </c>
      <c r="H1403" t="s">
        <v>36</v>
      </c>
      <c r="I1403">
        <v>26</v>
      </c>
      <c r="J1403">
        <v>4</v>
      </c>
      <c r="K1403" t="s">
        <v>36</v>
      </c>
      <c r="L1403">
        <v>1</v>
      </c>
      <c r="M1403">
        <v>1973</v>
      </c>
      <c r="O1403">
        <v>3</v>
      </c>
      <c r="P1403">
        <v>5</v>
      </c>
      <c r="Q1403" t="s">
        <v>31</v>
      </c>
      <c r="R1403">
        <v>2</v>
      </c>
      <c r="S1403">
        <v>19636</v>
      </c>
      <c r="T1403" t="s">
        <v>16</v>
      </c>
    </row>
    <row r="1404" spans="1:20" x14ac:dyDescent="0.25">
      <c r="A1404">
        <v>31</v>
      </c>
      <c r="B1404" t="str">
        <f t="shared" si="21"/>
        <v>25-34</v>
      </c>
      <c r="C1404" t="s">
        <v>21</v>
      </c>
      <c r="F1404" t="s">
        <v>17</v>
      </c>
      <c r="G1404">
        <v>1276</v>
      </c>
      <c r="H1404" t="s">
        <v>23</v>
      </c>
      <c r="I1404">
        <v>2</v>
      </c>
      <c r="J1404">
        <v>1</v>
      </c>
      <c r="K1404" t="s">
        <v>27</v>
      </c>
      <c r="L1404">
        <v>1</v>
      </c>
      <c r="M1404">
        <v>1974</v>
      </c>
      <c r="O1404">
        <v>4</v>
      </c>
      <c r="P1404">
        <v>1</v>
      </c>
      <c r="Q1404" t="s">
        <v>26</v>
      </c>
      <c r="R1404">
        <v>4</v>
      </c>
      <c r="S1404">
        <v>1129</v>
      </c>
      <c r="T1404" t="s">
        <v>16</v>
      </c>
    </row>
    <row r="1405" spans="1:20" x14ac:dyDescent="0.25">
      <c r="A1405">
        <v>39</v>
      </c>
      <c r="B1405" t="str">
        <f t="shared" si="21"/>
        <v>35-44</v>
      </c>
      <c r="C1405" t="s">
        <v>21</v>
      </c>
      <c r="F1405" t="s">
        <v>17</v>
      </c>
      <c r="G1405">
        <v>119</v>
      </c>
      <c r="H1405" t="s">
        <v>18</v>
      </c>
      <c r="I1405">
        <v>15</v>
      </c>
      <c r="J1405">
        <v>4</v>
      </c>
      <c r="K1405" t="s">
        <v>34</v>
      </c>
      <c r="L1405">
        <v>1</v>
      </c>
      <c r="M1405">
        <v>1975</v>
      </c>
      <c r="O1405">
        <v>2</v>
      </c>
      <c r="P1405">
        <v>4</v>
      </c>
      <c r="Q1405" t="s">
        <v>20</v>
      </c>
      <c r="R1405">
        <v>1</v>
      </c>
      <c r="S1405">
        <v>13341</v>
      </c>
      <c r="T1405" t="s">
        <v>21</v>
      </c>
    </row>
    <row r="1406" spans="1:20" x14ac:dyDescent="0.25">
      <c r="A1406">
        <v>42</v>
      </c>
      <c r="B1406" t="str">
        <f t="shared" si="21"/>
        <v>35-44</v>
      </c>
      <c r="C1406" t="s">
        <v>21</v>
      </c>
      <c r="F1406" t="s">
        <v>30</v>
      </c>
      <c r="G1406">
        <v>335</v>
      </c>
      <c r="H1406" t="s">
        <v>23</v>
      </c>
      <c r="I1406">
        <v>23</v>
      </c>
      <c r="J1406">
        <v>2</v>
      </c>
      <c r="K1406" t="s">
        <v>19</v>
      </c>
      <c r="L1406">
        <v>1</v>
      </c>
      <c r="M1406">
        <v>1976</v>
      </c>
      <c r="O1406">
        <v>4</v>
      </c>
      <c r="P1406">
        <v>2</v>
      </c>
      <c r="Q1406" t="s">
        <v>24</v>
      </c>
      <c r="R1406">
        <v>3</v>
      </c>
      <c r="S1406">
        <v>4332</v>
      </c>
      <c r="T1406" t="s">
        <v>21</v>
      </c>
    </row>
    <row r="1407" spans="1:20" x14ac:dyDescent="0.25">
      <c r="A1407">
        <v>31</v>
      </c>
      <c r="B1407" t="str">
        <f t="shared" si="21"/>
        <v>25-34</v>
      </c>
      <c r="C1407" t="s">
        <v>21</v>
      </c>
      <c r="F1407" t="s">
        <v>30</v>
      </c>
      <c r="G1407">
        <v>697</v>
      </c>
      <c r="H1407" t="s">
        <v>23</v>
      </c>
      <c r="I1407">
        <v>10</v>
      </c>
      <c r="J1407">
        <v>3</v>
      </c>
      <c r="K1407" t="s">
        <v>27</v>
      </c>
      <c r="L1407">
        <v>1</v>
      </c>
      <c r="M1407">
        <v>1979</v>
      </c>
      <c r="O1407">
        <v>3</v>
      </c>
      <c r="P1407">
        <v>3</v>
      </c>
      <c r="Q1407" t="s">
        <v>33</v>
      </c>
      <c r="R1407">
        <v>3</v>
      </c>
      <c r="S1407">
        <v>11031</v>
      </c>
      <c r="T1407" t="s">
        <v>21</v>
      </c>
    </row>
    <row r="1408" spans="1:20" x14ac:dyDescent="0.25">
      <c r="A1408">
        <v>54</v>
      </c>
      <c r="B1408" t="str">
        <f t="shared" si="21"/>
        <v>45-54</v>
      </c>
      <c r="C1408" t="s">
        <v>21</v>
      </c>
      <c r="F1408" t="s">
        <v>17</v>
      </c>
      <c r="G1408">
        <v>157</v>
      </c>
      <c r="H1408" t="s">
        <v>23</v>
      </c>
      <c r="I1408">
        <v>10</v>
      </c>
      <c r="J1408">
        <v>3</v>
      </c>
      <c r="K1408" t="s">
        <v>27</v>
      </c>
      <c r="L1408">
        <v>1</v>
      </c>
      <c r="M1408">
        <v>1980</v>
      </c>
      <c r="O1408">
        <v>3</v>
      </c>
      <c r="P1408">
        <v>2</v>
      </c>
      <c r="Q1408" t="s">
        <v>28</v>
      </c>
      <c r="R1408">
        <v>1</v>
      </c>
      <c r="S1408">
        <v>4440</v>
      </c>
      <c r="T1408" t="s">
        <v>16</v>
      </c>
    </row>
    <row r="1409" spans="1:20" x14ac:dyDescent="0.25">
      <c r="A1409">
        <v>24</v>
      </c>
      <c r="B1409" t="str">
        <f t="shared" si="21"/>
        <v>18-24</v>
      </c>
      <c r="C1409" t="s">
        <v>21</v>
      </c>
      <c r="F1409" t="s">
        <v>17</v>
      </c>
      <c r="G1409">
        <v>771</v>
      </c>
      <c r="H1409" t="s">
        <v>23</v>
      </c>
      <c r="I1409">
        <v>1</v>
      </c>
      <c r="J1409">
        <v>2</v>
      </c>
      <c r="K1409" t="s">
        <v>19</v>
      </c>
      <c r="L1409">
        <v>1</v>
      </c>
      <c r="M1409">
        <v>1981</v>
      </c>
      <c r="O1409">
        <v>2</v>
      </c>
      <c r="P1409">
        <v>2</v>
      </c>
      <c r="Q1409" t="s">
        <v>29</v>
      </c>
      <c r="R1409">
        <v>3</v>
      </c>
      <c r="S1409">
        <v>4617</v>
      </c>
      <c r="T1409" t="s">
        <v>21</v>
      </c>
    </row>
    <row r="1410" spans="1:20" x14ac:dyDescent="0.25">
      <c r="A1410">
        <v>23</v>
      </c>
      <c r="B1410" t="str">
        <f t="shared" si="21"/>
        <v>18-24</v>
      </c>
      <c r="C1410" t="s">
        <v>21</v>
      </c>
      <c r="F1410" t="s">
        <v>17</v>
      </c>
      <c r="G1410">
        <v>571</v>
      </c>
      <c r="H1410" t="s">
        <v>23</v>
      </c>
      <c r="I1410">
        <v>12</v>
      </c>
      <c r="J1410">
        <v>2</v>
      </c>
      <c r="K1410" t="s">
        <v>25</v>
      </c>
      <c r="L1410">
        <v>1</v>
      </c>
      <c r="M1410">
        <v>1982</v>
      </c>
      <c r="O1410">
        <v>4</v>
      </c>
      <c r="P1410">
        <v>1</v>
      </c>
      <c r="Q1410" t="s">
        <v>26</v>
      </c>
      <c r="R1410">
        <v>4</v>
      </c>
      <c r="S1410">
        <v>2647</v>
      </c>
      <c r="T1410" t="s">
        <v>21</v>
      </c>
    </row>
    <row r="1411" spans="1:20" x14ac:dyDescent="0.25">
      <c r="A1411">
        <v>40</v>
      </c>
      <c r="B1411" t="str">
        <f t="shared" ref="B1411:B1471" si="22">IF(A1411&lt;=24,"18-24",IF(A1411&lt;=34,"25-34",IF(A1411&lt;=44,"35-44",IF(A1411&lt;=54,"45-54","55+"))))</f>
        <v>35-44</v>
      </c>
      <c r="C1411" t="s">
        <v>21</v>
      </c>
      <c r="F1411" t="s">
        <v>22</v>
      </c>
      <c r="G1411">
        <v>692</v>
      </c>
      <c r="H1411" t="s">
        <v>23</v>
      </c>
      <c r="I1411">
        <v>11</v>
      </c>
      <c r="J1411">
        <v>3</v>
      </c>
      <c r="K1411" t="s">
        <v>35</v>
      </c>
      <c r="L1411">
        <v>1</v>
      </c>
      <c r="M1411">
        <v>1985</v>
      </c>
      <c r="O1411">
        <v>4</v>
      </c>
      <c r="P1411">
        <v>2</v>
      </c>
      <c r="Q1411" t="s">
        <v>26</v>
      </c>
      <c r="R1411">
        <v>3</v>
      </c>
      <c r="S1411">
        <v>6323</v>
      </c>
      <c r="T1411" t="s">
        <v>21</v>
      </c>
    </row>
    <row r="1412" spans="1:20" x14ac:dyDescent="0.25">
      <c r="A1412">
        <v>40</v>
      </c>
      <c r="B1412" t="str">
        <f t="shared" si="22"/>
        <v>35-44</v>
      </c>
      <c r="C1412" t="s">
        <v>21</v>
      </c>
      <c r="F1412" t="s">
        <v>17</v>
      </c>
      <c r="G1412">
        <v>444</v>
      </c>
      <c r="H1412" t="s">
        <v>18</v>
      </c>
      <c r="I1412">
        <v>2</v>
      </c>
      <c r="J1412">
        <v>2</v>
      </c>
      <c r="K1412" t="s">
        <v>34</v>
      </c>
      <c r="L1412">
        <v>1</v>
      </c>
      <c r="M1412">
        <v>1986</v>
      </c>
      <c r="O1412">
        <v>2</v>
      </c>
      <c r="P1412">
        <v>2</v>
      </c>
      <c r="Q1412" t="s">
        <v>20</v>
      </c>
      <c r="R1412">
        <v>2</v>
      </c>
      <c r="S1412">
        <v>5677</v>
      </c>
      <c r="T1412" t="s">
        <v>21</v>
      </c>
    </row>
    <row r="1413" spans="1:20" x14ac:dyDescent="0.25">
      <c r="A1413">
        <v>25</v>
      </c>
      <c r="B1413" t="str">
        <f t="shared" si="22"/>
        <v>25-34</v>
      </c>
      <c r="C1413" t="s">
        <v>21</v>
      </c>
      <c r="F1413" t="s">
        <v>17</v>
      </c>
      <c r="G1413">
        <v>309</v>
      </c>
      <c r="H1413" t="s">
        <v>36</v>
      </c>
      <c r="I1413">
        <v>2</v>
      </c>
      <c r="J1413">
        <v>3</v>
      </c>
      <c r="K1413" t="s">
        <v>36</v>
      </c>
      <c r="L1413">
        <v>1</v>
      </c>
      <c r="M1413">
        <v>1987</v>
      </c>
      <c r="O1413">
        <v>3</v>
      </c>
      <c r="P1413">
        <v>1</v>
      </c>
      <c r="Q1413" t="s">
        <v>36</v>
      </c>
      <c r="R1413">
        <v>2</v>
      </c>
      <c r="S1413">
        <v>2187</v>
      </c>
      <c r="T1413" t="s">
        <v>21</v>
      </c>
    </row>
    <row r="1414" spans="1:20" x14ac:dyDescent="0.25">
      <c r="A1414">
        <v>30</v>
      </c>
      <c r="B1414" t="str">
        <f t="shared" si="22"/>
        <v>25-34</v>
      </c>
      <c r="C1414" t="s">
        <v>21</v>
      </c>
      <c r="F1414" t="s">
        <v>17</v>
      </c>
      <c r="G1414">
        <v>911</v>
      </c>
      <c r="H1414" t="s">
        <v>23</v>
      </c>
      <c r="I1414">
        <v>1</v>
      </c>
      <c r="J1414">
        <v>2</v>
      </c>
      <c r="K1414" t="s">
        <v>27</v>
      </c>
      <c r="L1414">
        <v>1</v>
      </c>
      <c r="M1414">
        <v>1989</v>
      </c>
      <c r="O1414">
        <v>4</v>
      </c>
      <c r="P1414">
        <v>1</v>
      </c>
      <c r="Q1414" t="s">
        <v>26</v>
      </c>
      <c r="R1414">
        <v>2</v>
      </c>
      <c r="S1414">
        <v>3748</v>
      </c>
      <c r="T1414" t="s">
        <v>21</v>
      </c>
    </row>
    <row r="1415" spans="1:20" x14ac:dyDescent="0.25">
      <c r="A1415">
        <v>25</v>
      </c>
      <c r="B1415" t="str">
        <f t="shared" si="22"/>
        <v>25-34</v>
      </c>
      <c r="C1415" t="s">
        <v>21</v>
      </c>
      <c r="F1415" t="s">
        <v>17</v>
      </c>
      <c r="G1415">
        <v>977</v>
      </c>
      <c r="H1415" t="s">
        <v>23</v>
      </c>
      <c r="I1415">
        <v>2</v>
      </c>
      <c r="J1415">
        <v>1</v>
      </c>
      <c r="K1415" t="s">
        <v>25</v>
      </c>
      <c r="L1415">
        <v>1</v>
      </c>
      <c r="M1415">
        <v>1992</v>
      </c>
      <c r="O1415">
        <v>4</v>
      </c>
      <c r="P1415">
        <v>1</v>
      </c>
      <c r="Q1415" t="s">
        <v>26</v>
      </c>
      <c r="R1415">
        <v>3</v>
      </c>
      <c r="S1415">
        <v>3977</v>
      </c>
      <c r="T1415" t="s">
        <v>16</v>
      </c>
    </row>
    <row r="1416" spans="1:20" x14ac:dyDescent="0.25">
      <c r="A1416">
        <v>47</v>
      </c>
      <c r="B1416" t="str">
        <f t="shared" si="22"/>
        <v>45-54</v>
      </c>
      <c r="C1416" t="s">
        <v>21</v>
      </c>
      <c r="F1416" t="s">
        <v>17</v>
      </c>
      <c r="G1416">
        <v>1180</v>
      </c>
      <c r="H1416" t="s">
        <v>23</v>
      </c>
      <c r="I1416">
        <v>25</v>
      </c>
      <c r="J1416">
        <v>3</v>
      </c>
      <c r="K1416" t="s">
        <v>27</v>
      </c>
      <c r="L1416">
        <v>1</v>
      </c>
      <c r="M1416">
        <v>1993</v>
      </c>
      <c r="O1416">
        <v>1</v>
      </c>
      <c r="P1416">
        <v>3</v>
      </c>
      <c r="Q1416" t="s">
        <v>29</v>
      </c>
      <c r="R1416">
        <v>3</v>
      </c>
      <c r="S1416">
        <v>8633</v>
      </c>
      <c r="T1416" t="s">
        <v>21</v>
      </c>
    </row>
    <row r="1417" spans="1:20" x14ac:dyDescent="0.25">
      <c r="A1417">
        <v>33</v>
      </c>
      <c r="B1417" t="str">
        <f t="shared" si="22"/>
        <v>25-34</v>
      </c>
      <c r="C1417" t="s">
        <v>21</v>
      </c>
      <c r="F1417" t="s">
        <v>30</v>
      </c>
      <c r="G1417">
        <v>1313</v>
      </c>
      <c r="H1417" t="s">
        <v>23</v>
      </c>
      <c r="I1417">
        <v>1</v>
      </c>
      <c r="J1417">
        <v>2</v>
      </c>
      <c r="K1417" t="s">
        <v>27</v>
      </c>
      <c r="L1417">
        <v>1</v>
      </c>
      <c r="M1417">
        <v>1994</v>
      </c>
      <c r="O1417">
        <v>2</v>
      </c>
      <c r="P1417">
        <v>1</v>
      </c>
      <c r="Q1417" t="s">
        <v>26</v>
      </c>
      <c r="R1417">
        <v>3</v>
      </c>
      <c r="S1417">
        <v>2008</v>
      </c>
      <c r="T1417" t="s">
        <v>21</v>
      </c>
    </row>
    <row r="1418" spans="1:20" x14ac:dyDescent="0.25">
      <c r="A1418">
        <v>38</v>
      </c>
      <c r="B1418" t="str">
        <f t="shared" si="22"/>
        <v>35-44</v>
      </c>
      <c r="C1418" t="s">
        <v>21</v>
      </c>
      <c r="F1418" t="s">
        <v>17</v>
      </c>
      <c r="G1418">
        <v>1321</v>
      </c>
      <c r="H1418" t="s">
        <v>18</v>
      </c>
      <c r="I1418">
        <v>1</v>
      </c>
      <c r="J1418">
        <v>4</v>
      </c>
      <c r="K1418" t="s">
        <v>19</v>
      </c>
      <c r="L1418">
        <v>1</v>
      </c>
      <c r="M1418">
        <v>1995</v>
      </c>
      <c r="O1418">
        <v>4</v>
      </c>
      <c r="P1418">
        <v>2</v>
      </c>
      <c r="Q1418" t="s">
        <v>20</v>
      </c>
      <c r="R1418">
        <v>2</v>
      </c>
      <c r="S1418">
        <v>4440</v>
      </c>
      <c r="T1418" t="s">
        <v>21</v>
      </c>
    </row>
    <row r="1419" spans="1:20" x14ac:dyDescent="0.25">
      <c r="A1419">
        <v>31</v>
      </c>
      <c r="B1419" t="str">
        <f t="shared" si="22"/>
        <v>25-34</v>
      </c>
      <c r="C1419" t="s">
        <v>21</v>
      </c>
      <c r="F1419" t="s">
        <v>17</v>
      </c>
      <c r="G1419">
        <v>1154</v>
      </c>
      <c r="H1419" t="s">
        <v>18</v>
      </c>
      <c r="I1419">
        <v>2</v>
      </c>
      <c r="J1419">
        <v>2</v>
      </c>
      <c r="K1419" t="s">
        <v>19</v>
      </c>
      <c r="L1419">
        <v>1</v>
      </c>
      <c r="M1419">
        <v>1996</v>
      </c>
      <c r="O1419">
        <v>1</v>
      </c>
      <c r="P1419">
        <v>1</v>
      </c>
      <c r="Q1419" t="s">
        <v>32</v>
      </c>
      <c r="R1419">
        <v>3</v>
      </c>
      <c r="S1419">
        <v>3067</v>
      </c>
      <c r="T1419" t="s">
        <v>21</v>
      </c>
    </row>
    <row r="1420" spans="1:20" x14ac:dyDescent="0.25">
      <c r="A1420">
        <v>38</v>
      </c>
      <c r="B1420" t="str">
        <f t="shared" si="22"/>
        <v>35-44</v>
      </c>
      <c r="C1420" t="s">
        <v>21</v>
      </c>
      <c r="F1420" t="s">
        <v>22</v>
      </c>
      <c r="G1420">
        <v>508</v>
      </c>
      <c r="H1420" t="s">
        <v>23</v>
      </c>
      <c r="I1420">
        <v>6</v>
      </c>
      <c r="J1420">
        <v>4</v>
      </c>
      <c r="K1420" t="s">
        <v>19</v>
      </c>
      <c r="L1420">
        <v>1</v>
      </c>
      <c r="M1420">
        <v>1997</v>
      </c>
      <c r="O1420">
        <v>1</v>
      </c>
      <c r="P1420">
        <v>2</v>
      </c>
      <c r="Q1420" t="s">
        <v>28</v>
      </c>
      <c r="R1420">
        <v>3</v>
      </c>
      <c r="S1420">
        <v>5321</v>
      </c>
      <c r="T1420" t="s">
        <v>21</v>
      </c>
    </row>
    <row r="1421" spans="1:20" x14ac:dyDescent="0.25">
      <c r="A1421">
        <v>42</v>
      </c>
      <c r="B1421" t="str">
        <f t="shared" si="22"/>
        <v>35-44</v>
      </c>
      <c r="C1421" t="s">
        <v>21</v>
      </c>
      <c r="F1421" t="s">
        <v>17</v>
      </c>
      <c r="G1421">
        <v>557</v>
      </c>
      <c r="H1421" t="s">
        <v>23</v>
      </c>
      <c r="I1421">
        <v>18</v>
      </c>
      <c r="J1421">
        <v>4</v>
      </c>
      <c r="K1421" t="s">
        <v>19</v>
      </c>
      <c r="L1421">
        <v>1</v>
      </c>
      <c r="M1421">
        <v>1998</v>
      </c>
      <c r="O1421">
        <v>4</v>
      </c>
      <c r="P1421">
        <v>2</v>
      </c>
      <c r="Q1421" t="s">
        <v>24</v>
      </c>
      <c r="R1421">
        <v>1</v>
      </c>
      <c r="S1421">
        <v>5410</v>
      </c>
      <c r="T1421" t="s">
        <v>16</v>
      </c>
    </row>
    <row r="1422" spans="1:20" x14ac:dyDescent="0.25">
      <c r="A1422">
        <v>41</v>
      </c>
      <c r="B1422" t="str">
        <f t="shared" si="22"/>
        <v>35-44</v>
      </c>
      <c r="C1422" t="s">
        <v>21</v>
      </c>
      <c r="F1422" t="s">
        <v>17</v>
      </c>
      <c r="G1422">
        <v>642</v>
      </c>
      <c r="H1422" t="s">
        <v>23</v>
      </c>
      <c r="I1422">
        <v>1</v>
      </c>
      <c r="J1422">
        <v>3</v>
      </c>
      <c r="K1422" t="s">
        <v>19</v>
      </c>
      <c r="L1422">
        <v>1</v>
      </c>
      <c r="M1422">
        <v>1999</v>
      </c>
      <c r="O1422">
        <v>4</v>
      </c>
      <c r="P1422">
        <v>1</v>
      </c>
      <c r="Q1422" t="s">
        <v>24</v>
      </c>
      <c r="R1422">
        <v>4</v>
      </c>
      <c r="S1422">
        <v>2782</v>
      </c>
      <c r="T1422" t="s">
        <v>21</v>
      </c>
    </row>
    <row r="1423" spans="1:20" x14ac:dyDescent="0.25">
      <c r="A1423">
        <v>47</v>
      </c>
      <c r="B1423" t="str">
        <f t="shared" si="22"/>
        <v>45-54</v>
      </c>
      <c r="C1423" t="s">
        <v>21</v>
      </c>
      <c r="F1423" t="s">
        <v>30</v>
      </c>
      <c r="G1423">
        <v>1162</v>
      </c>
      <c r="H1423" t="s">
        <v>23</v>
      </c>
      <c r="I1423">
        <v>1</v>
      </c>
      <c r="J1423">
        <v>1</v>
      </c>
      <c r="K1423" t="s">
        <v>27</v>
      </c>
      <c r="L1423">
        <v>1</v>
      </c>
      <c r="M1423">
        <v>2000</v>
      </c>
      <c r="O1423">
        <v>3</v>
      </c>
      <c r="P1423">
        <v>3</v>
      </c>
      <c r="Q1423" t="s">
        <v>33</v>
      </c>
      <c r="R1423">
        <v>2</v>
      </c>
      <c r="S1423">
        <v>11957</v>
      </c>
      <c r="T1423" t="s">
        <v>21</v>
      </c>
    </row>
    <row r="1424" spans="1:20" x14ac:dyDescent="0.25">
      <c r="A1424">
        <v>35</v>
      </c>
      <c r="B1424" t="str">
        <f t="shared" si="22"/>
        <v>35-44</v>
      </c>
      <c r="C1424" t="s">
        <v>21</v>
      </c>
      <c r="F1424" t="s">
        <v>17</v>
      </c>
      <c r="G1424">
        <v>1490</v>
      </c>
      <c r="H1424" t="s">
        <v>23</v>
      </c>
      <c r="I1424">
        <v>11</v>
      </c>
      <c r="J1424">
        <v>4</v>
      </c>
      <c r="K1424" t="s">
        <v>27</v>
      </c>
      <c r="L1424">
        <v>1</v>
      </c>
      <c r="M1424">
        <v>2003</v>
      </c>
      <c r="O1424">
        <v>4</v>
      </c>
      <c r="P1424">
        <v>1</v>
      </c>
      <c r="Q1424" t="s">
        <v>26</v>
      </c>
      <c r="R1424">
        <v>3</v>
      </c>
      <c r="S1424">
        <v>2660</v>
      </c>
      <c r="T1424" t="s">
        <v>16</v>
      </c>
    </row>
    <row r="1425" spans="1:20" x14ac:dyDescent="0.25">
      <c r="A1425">
        <v>22</v>
      </c>
      <c r="B1425" t="str">
        <f t="shared" si="22"/>
        <v>18-24</v>
      </c>
      <c r="C1425" t="s">
        <v>21</v>
      </c>
      <c r="F1425" t="s">
        <v>17</v>
      </c>
      <c r="G1425">
        <v>581</v>
      </c>
      <c r="H1425" t="s">
        <v>23</v>
      </c>
      <c r="I1425">
        <v>1</v>
      </c>
      <c r="J1425">
        <v>2</v>
      </c>
      <c r="K1425" t="s">
        <v>19</v>
      </c>
      <c r="L1425">
        <v>1</v>
      </c>
      <c r="M1425">
        <v>2007</v>
      </c>
      <c r="O1425">
        <v>4</v>
      </c>
      <c r="P1425">
        <v>1</v>
      </c>
      <c r="Q1425" t="s">
        <v>24</v>
      </c>
      <c r="R1425">
        <v>3</v>
      </c>
      <c r="S1425">
        <v>3375</v>
      </c>
      <c r="T1425" t="s">
        <v>21</v>
      </c>
    </row>
    <row r="1426" spans="1:20" x14ac:dyDescent="0.25">
      <c r="A1426">
        <v>35</v>
      </c>
      <c r="B1426" t="str">
        <f t="shared" si="22"/>
        <v>35-44</v>
      </c>
      <c r="C1426" t="s">
        <v>21</v>
      </c>
      <c r="F1426" t="s">
        <v>17</v>
      </c>
      <c r="G1426">
        <v>1395</v>
      </c>
      <c r="H1426" t="s">
        <v>23</v>
      </c>
      <c r="I1426">
        <v>9</v>
      </c>
      <c r="J1426">
        <v>4</v>
      </c>
      <c r="K1426" t="s">
        <v>27</v>
      </c>
      <c r="L1426">
        <v>1</v>
      </c>
      <c r="M1426">
        <v>2008</v>
      </c>
      <c r="O1426">
        <v>2</v>
      </c>
      <c r="P1426">
        <v>2</v>
      </c>
      <c r="Q1426" t="s">
        <v>24</v>
      </c>
      <c r="R1426">
        <v>3</v>
      </c>
      <c r="S1426">
        <v>5098</v>
      </c>
      <c r="T1426" t="s">
        <v>21</v>
      </c>
    </row>
    <row r="1427" spans="1:20" x14ac:dyDescent="0.25">
      <c r="A1427">
        <v>33</v>
      </c>
      <c r="B1427" t="str">
        <f t="shared" si="22"/>
        <v>25-34</v>
      </c>
      <c r="C1427" t="s">
        <v>21</v>
      </c>
      <c r="F1427" t="s">
        <v>17</v>
      </c>
      <c r="G1427">
        <v>501</v>
      </c>
      <c r="H1427" t="s">
        <v>23</v>
      </c>
      <c r="I1427">
        <v>15</v>
      </c>
      <c r="J1427">
        <v>2</v>
      </c>
      <c r="K1427" t="s">
        <v>27</v>
      </c>
      <c r="L1427">
        <v>1</v>
      </c>
      <c r="M1427">
        <v>2009</v>
      </c>
      <c r="O1427">
        <v>2</v>
      </c>
      <c r="P1427">
        <v>2</v>
      </c>
      <c r="Q1427" t="s">
        <v>29</v>
      </c>
      <c r="R1427">
        <v>4</v>
      </c>
      <c r="S1427">
        <v>4878</v>
      </c>
      <c r="T1427" t="s">
        <v>16</v>
      </c>
    </row>
    <row r="1428" spans="1:20" x14ac:dyDescent="0.25">
      <c r="A1428">
        <v>32</v>
      </c>
      <c r="B1428" t="str">
        <f t="shared" si="22"/>
        <v>25-34</v>
      </c>
      <c r="C1428" t="s">
        <v>21</v>
      </c>
      <c r="F1428" t="s">
        <v>17</v>
      </c>
      <c r="G1428">
        <v>267</v>
      </c>
      <c r="H1428" t="s">
        <v>23</v>
      </c>
      <c r="I1428">
        <v>29</v>
      </c>
      <c r="J1428">
        <v>4</v>
      </c>
      <c r="K1428" t="s">
        <v>19</v>
      </c>
      <c r="L1428">
        <v>1</v>
      </c>
      <c r="M1428">
        <v>2010</v>
      </c>
      <c r="O1428">
        <v>3</v>
      </c>
      <c r="P1428">
        <v>1</v>
      </c>
      <c r="Q1428" t="s">
        <v>26</v>
      </c>
      <c r="R1428">
        <v>2</v>
      </c>
      <c r="S1428">
        <v>2837</v>
      </c>
      <c r="T1428" t="s">
        <v>21</v>
      </c>
    </row>
    <row r="1429" spans="1:20" x14ac:dyDescent="0.25">
      <c r="A1429">
        <v>40</v>
      </c>
      <c r="B1429" t="str">
        <f t="shared" si="22"/>
        <v>35-44</v>
      </c>
      <c r="C1429" t="s">
        <v>21</v>
      </c>
      <c r="F1429" t="s">
        <v>17</v>
      </c>
      <c r="G1429">
        <v>543</v>
      </c>
      <c r="H1429" t="s">
        <v>23</v>
      </c>
      <c r="I1429">
        <v>1</v>
      </c>
      <c r="J1429">
        <v>4</v>
      </c>
      <c r="K1429" t="s">
        <v>19</v>
      </c>
      <c r="L1429">
        <v>1</v>
      </c>
      <c r="M1429">
        <v>2012</v>
      </c>
      <c r="O1429">
        <v>1</v>
      </c>
      <c r="P1429">
        <v>1</v>
      </c>
      <c r="Q1429" t="s">
        <v>26</v>
      </c>
      <c r="R1429">
        <v>4</v>
      </c>
      <c r="S1429">
        <v>2406</v>
      </c>
      <c r="T1429" t="s">
        <v>21</v>
      </c>
    </row>
    <row r="1430" spans="1:20" x14ac:dyDescent="0.25">
      <c r="A1430">
        <v>32</v>
      </c>
      <c r="B1430" t="str">
        <f t="shared" si="22"/>
        <v>25-34</v>
      </c>
      <c r="C1430" t="s">
        <v>21</v>
      </c>
      <c r="F1430" t="s">
        <v>17</v>
      </c>
      <c r="G1430">
        <v>234</v>
      </c>
      <c r="H1430" t="s">
        <v>18</v>
      </c>
      <c r="I1430">
        <v>1</v>
      </c>
      <c r="J1430">
        <v>4</v>
      </c>
      <c r="K1430" t="s">
        <v>27</v>
      </c>
      <c r="L1430">
        <v>1</v>
      </c>
      <c r="M1430">
        <v>2013</v>
      </c>
      <c r="O1430">
        <v>2</v>
      </c>
      <c r="P1430">
        <v>1</v>
      </c>
      <c r="Q1430" t="s">
        <v>32</v>
      </c>
      <c r="R1430">
        <v>2</v>
      </c>
      <c r="S1430">
        <v>2269</v>
      </c>
      <c r="T1430" t="s">
        <v>21</v>
      </c>
    </row>
    <row r="1431" spans="1:20" x14ac:dyDescent="0.25">
      <c r="A1431">
        <v>39</v>
      </c>
      <c r="B1431" t="str">
        <f t="shared" si="22"/>
        <v>35-44</v>
      </c>
      <c r="C1431" t="s">
        <v>21</v>
      </c>
      <c r="F1431" t="s">
        <v>17</v>
      </c>
      <c r="G1431">
        <v>116</v>
      </c>
      <c r="H1431" t="s">
        <v>23</v>
      </c>
      <c r="I1431">
        <v>24</v>
      </c>
      <c r="J1431">
        <v>1</v>
      </c>
      <c r="K1431" t="s">
        <v>19</v>
      </c>
      <c r="L1431">
        <v>1</v>
      </c>
      <c r="M1431">
        <v>2014</v>
      </c>
      <c r="O1431">
        <v>1</v>
      </c>
      <c r="P1431">
        <v>2</v>
      </c>
      <c r="Q1431" t="s">
        <v>24</v>
      </c>
      <c r="R1431">
        <v>4</v>
      </c>
      <c r="S1431">
        <v>4108</v>
      </c>
      <c r="T1431" t="s">
        <v>21</v>
      </c>
    </row>
    <row r="1432" spans="1:20" x14ac:dyDescent="0.25">
      <c r="A1432">
        <v>38</v>
      </c>
      <c r="B1432" t="str">
        <f t="shared" si="22"/>
        <v>35-44</v>
      </c>
      <c r="C1432" t="s">
        <v>21</v>
      </c>
      <c r="F1432" t="s">
        <v>17</v>
      </c>
      <c r="G1432">
        <v>201</v>
      </c>
      <c r="H1432" t="s">
        <v>23</v>
      </c>
      <c r="I1432">
        <v>10</v>
      </c>
      <c r="J1432">
        <v>3</v>
      </c>
      <c r="K1432" t="s">
        <v>27</v>
      </c>
      <c r="L1432">
        <v>1</v>
      </c>
      <c r="M1432">
        <v>2015</v>
      </c>
      <c r="O1432">
        <v>2</v>
      </c>
      <c r="P1432">
        <v>3</v>
      </c>
      <c r="Q1432" t="s">
        <v>33</v>
      </c>
      <c r="R1432">
        <v>3</v>
      </c>
      <c r="S1432">
        <v>13206</v>
      </c>
      <c r="T1432" t="s">
        <v>21</v>
      </c>
    </row>
    <row r="1433" spans="1:20" x14ac:dyDescent="0.25">
      <c r="A1433">
        <v>32</v>
      </c>
      <c r="B1433" t="str">
        <f t="shared" si="22"/>
        <v>25-34</v>
      </c>
      <c r="C1433" t="s">
        <v>21</v>
      </c>
      <c r="F1433" t="s">
        <v>17</v>
      </c>
      <c r="G1433">
        <v>801</v>
      </c>
      <c r="H1433" t="s">
        <v>18</v>
      </c>
      <c r="I1433">
        <v>1</v>
      </c>
      <c r="J1433">
        <v>4</v>
      </c>
      <c r="K1433" t="s">
        <v>34</v>
      </c>
      <c r="L1433">
        <v>1</v>
      </c>
      <c r="M1433">
        <v>2016</v>
      </c>
      <c r="O1433">
        <v>3</v>
      </c>
      <c r="P1433">
        <v>3</v>
      </c>
      <c r="Q1433" t="s">
        <v>20</v>
      </c>
      <c r="R1433">
        <v>4</v>
      </c>
      <c r="S1433">
        <v>10422</v>
      </c>
      <c r="T1433" t="s">
        <v>21</v>
      </c>
    </row>
    <row r="1434" spans="1:20" x14ac:dyDescent="0.25">
      <c r="A1434">
        <v>37</v>
      </c>
      <c r="B1434" t="str">
        <f t="shared" si="22"/>
        <v>35-44</v>
      </c>
      <c r="C1434" t="s">
        <v>21</v>
      </c>
      <c r="F1434" t="s">
        <v>17</v>
      </c>
      <c r="G1434">
        <v>161</v>
      </c>
      <c r="H1434" t="s">
        <v>23</v>
      </c>
      <c r="I1434">
        <v>10</v>
      </c>
      <c r="J1434">
        <v>3</v>
      </c>
      <c r="K1434" t="s">
        <v>19</v>
      </c>
      <c r="L1434">
        <v>1</v>
      </c>
      <c r="M1434">
        <v>2017</v>
      </c>
      <c r="O1434">
        <v>3</v>
      </c>
      <c r="P1434">
        <v>3</v>
      </c>
      <c r="Q1434" t="s">
        <v>33</v>
      </c>
      <c r="R1434">
        <v>4</v>
      </c>
      <c r="S1434">
        <v>13744</v>
      </c>
      <c r="T1434" t="s">
        <v>16</v>
      </c>
    </row>
    <row r="1435" spans="1:20" x14ac:dyDescent="0.25">
      <c r="A1435">
        <v>25</v>
      </c>
      <c r="B1435" t="str">
        <f t="shared" si="22"/>
        <v>25-34</v>
      </c>
      <c r="C1435" t="s">
        <v>21</v>
      </c>
      <c r="F1435" t="s">
        <v>17</v>
      </c>
      <c r="G1435">
        <v>1382</v>
      </c>
      <c r="H1435" t="s">
        <v>18</v>
      </c>
      <c r="I1435">
        <v>8</v>
      </c>
      <c r="J1435">
        <v>2</v>
      </c>
      <c r="K1435" t="s">
        <v>25</v>
      </c>
      <c r="L1435">
        <v>1</v>
      </c>
      <c r="M1435">
        <v>2018</v>
      </c>
      <c r="O1435">
        <v>1</v>
      </c>
      <c r="P1435">
        <v>2</v>
      </c>
      <c r="Q1435" t="s">
        <v>20</v>
      </c>
      <c r="R1435">
        <v>3</v>
      </c>
      <c r="S1435">
        <v>4907</v>
      </c>
      <c r="T1435" t="s">
        <v>16</v>
      </c>
    </row>
    <row r="1436" spans="1:20" x14ac:dyDescent="0.25">
      <c r="A1436">
        <v>52</v>
      </c>
      <c r="B1436" t="str">
        <f t="shared" si="22"/>
        <v>45-54</v>
      </c>
      <c r="C1436" t="s">
        <v>21</v>
      </c>
      <c r="F1436" t="s">
        <v>30</v>
      </c>
      <c r="G1436">
        <v>585</v>
      </c>
      <c r="H1436" t="s">
        <v>18</v>
      </c>
      <c r="I1436">
        <v>29</v>
      </c>
      <c r="J1436">
        <v>4</v>
      </c>
      <c r="K1436" t="s">
        <v>19</v>
      </c>
      <c r="L1436">
        <v>1</v>
      </c>
      <c r="M1436">
        <v>2019</v>
      </c>
      <c r="O1436">
        <v>1</v>
      </c>
      <c r="P1436">
        <v>1</v>
      </c>
      <c r="Q1436" t="s">
        <v>32</v>
      </c>
      <c r="R1436">
        <v>4</v>
      </c>
      <c r="S1436">
        <v>3482</v>
      </c>
      <c r="T1436" t="s">
        <v>21</v>
      </c>
    </row>
    <row r="1437" spans="1:20" x14ac:dyDescent="0.25">
      <c r="A1437">
        <v>44</v>
      </c>
      <c r="B1437" t="str">
        <f t="shared" si="22"/>
        <v>35-44</v>
      </c>
      <c r="C1437" t="s">
        <v>21</v>
      </c>
      <c r="F1437" t="s">
        <v>17</v>
      </c>
      <c r="G1437">
        <v>1037</v>
      </c>
      <c r="H1437" t="s">
        <v>23</v>
      </c>
      <c r="I1437">
        <v>1</v>
      </c>
      <c r="J1437">
        <v>3</v>
      </c>
      <c r="K1437" t="s">
        <v>27</v>
      </c>
      <c r="L1437">
        <v>1</v>
      </c>
      <c r="M1437">
        <v>2020</v>
      </c>
      <c r="O1437">
        <v>2</v>
      </c>
      <c r="P1437">
        <v>1</v>
      </c>
      <c r="Q1437" t="s">
        <v>24</v>
      </c>
      <c r="R1437">
        <v>4</v>
      </c>
      <c r="S1437">
        <v>2436</v>
      </c>
      <c r="T1437" t="s">
        <v>16</v>
      </c>
    </row>
    <row r="1438" spans="1:20" x14ac:dyDescent="0.25">
      <c r="A1438">
        <v>21</v>
      </c>
      <c r="B1438" t="str">
        <f t="shared" si="22"/>
        <v>18-24</v>
      </c>
      <c r="C1438" t="s">
        <v>21</v>
      </c>
      <c r="F1438" t="s">
        <v>17</v>
      </c>
      <c r="G1438">
        <v>501</v>
      </c>
      <c r="H1438" t="s">
        <v>18</v>
      </c>
      <c r="I1438">
        <v>5</v>
      </c>
      <c r="J1438">
        <v>1</v>
      </c>
      <c r="K1438" t="s">
        <v>27</v>
      </c>
      <c r="L1438">
        <v>1</v>
      </c>
      <c r="M1438">
        <v>2021</v>
      </c>
      <c r="O1438">
        <v>3</v>
      </c>
      <c r="P1438">
        <v>1</v>
      </c>
      <c r="Q1438" t="s">
        <v>32</v>
      </c>
      <c r="R1438">
        <v>1</v>
      </c>
      <c r="S1438">
        <v>2380</v>
      </c>
      <c r="T1438" t="s">
        <v>16</v>
      </c>
    </row>
    <row r="1439" spans="1:20" x14ac:dyDescent="0.25">
      <c r="A1439">
        <v>39</v>
      </c>
      <c r="B1439" t="str">
        <f t="shared" si="22"/>
        <v>35-44</v>
      </c>
      <c r="C1439" t="s">
        <v>21</v>
      </c>
      <c r="F1439" t="s">
        <v>30</v>
      </c>
      <c r="G1439">
        <v>105</v>
      </c>
      <c r="H1439" t="s">
        <v>23</v>
      </c>
      <c r="I1439">
        <v>9</v>
      </c>
      <c r="J1439">
        <v>3</v>
      </c>
      <c r="K1439" t="s">
        <v>19</v>
      </c>
      <c r="L1439">
        <v>1</v>
      </c>
      <c r="M1439">
        <v>2022</v>
      </c>
      <c r="O1439">
        <v>4</v>
      </c>
      <c r="P1439">
        <v>5</v>
      </c>
      <c r="Q1439" t="s">
        <v>31</v>
      </c>
      <c r="R1439">
        <v>4</v>
      </c>
      <c r="S1439">
        <v>19431</v>
      </c>
      <c r="T1439" t="s">
        <v>21</v>
      </c>
    </row>
    <row r="1440" spans="1:20" x14ac:dyDescent="0.25">
      <c r="A1440">
        <v>23</v>
      </c>
      <c r="B1440" t="str">
        <f t="shared" si="22"/>
        <v>18-24</v>
      </c>
      <c r="C1440" t="s">
        <v>16</v>
      </c>
      <c r="F1440" t="s">
        <v>22</v>
      </c>
      <c r="G1440">
        <v>638</v>
      </c>
      <c r="H1440" t="s">
        <v>18</v>
      </c>
      <c r="I1440">
        <v>9</v>
      </c>
      <c r="J1440">
        <v>3</v>
      </c>
      <c r="K1440" t="s">
        <v>34</v>
      </c>
      <c r="L1440">
        <v>1</v>
      </c>
      <c r="M1440">
        <v>2023</v>
      </c>
      <c r="O1440">
        <v>4</v>
      </c>
      <c r="P1440">
        <v>1</v>
      </c>
      <c r="Q1440" t="s">
        <v>32</v>
      </c>
      <c r="R1440">
        <v>1</v>
      </c>
      <c r="S1440">
        <v>1790</v>
      </c>
      <c r="T1440" t="s">
        <v>21</v>
      </c>
    </row>
    <row r="1441" spans="1:20" x14ac:dyDescent="0.25">
      <c r="A1441">
        <v>36</v>
      </c>
      <c r="B1441" t="str">
        <f t="shared" si="22"/>
        <v>35-44</v>
      </c>
      <c r="C1441" t="s">
        <v>21</v>
      </c>
      <c r="F1441" t="s">
        <v>17</v>
      </c>
      <c r="G1441">
        <v>557</v>
      </c>
      <c r="H1441" t="s">
        <v>18</v>
      </c>
      <c r="I1441">
        <v>3</v>
      </c>
      <c r="J1441">
        <v>3</v>
      </c>
      <c r="K1441" t="s">
        <v>27</v>
      </c>
      <c r="L1441">
        <v>1</v>
      </c>
      <c r="M1441">
        <v>2024</v>
      </c>
      <c r="O1441">
        <v>1</v>
      </c>
      <c r="P1441">
        <v>3</v>
      </c>
      <c r="Q1441" t="s">
        <v>20</v>
      </c>
      <c r="R1441">
        <v>4</v>
      </c>
      <c r="S1441">
        <v>7644</v>
      </c>
      <c r="T1441" t="s">
        <v>21</v>
      </c>
    </row>
    <row r="1442" spans="1:20" x14ac:dyDescent="0.25">
      <c r="A1442">
        <v>36</v>
      </c>
      <c r="B1442" t="str">
        <f t="shared" si="22"/>
        <v>35-44</v>
      </c>
      <c r="C1442" t="s">
        <v>21</v>
      </c>
      <c r="F1442" t="s">
        <v>22</v>
      </c>
      <c r="G1442">
        <v>688</v>
      </c>
      <c r="H1442" t="s">
        <v>23</v>
      </c>
      <c r="I1442">
        <v>4</v>
      </c>
      <c r="J1442">
        <v>2</v>
      </c>
      <c r="K1442" t="s">
        <v>19</v>
      </c>
      <c r="L1442">
        <v>1</v>
      </c>
      <c r="M1442">
        <v>2025</v>
      </c>
      <c r="O1442">
        <v>4</v>
      </c>
      <c r="P1442">
        <v>2</v>
      </c>
      <c r="Q1442" t="s">
        <v>28</v>
      </c>
      <c r="R1442">
        <v>2</v>
      </c>
      <c r="S1442">
        <v>5131</v>
      </c>
      <c r="T1442" t="s">
        <v>21</v>
      </c>
    </row>
    <row r="1443" spans="1:20" x14ac:dyDescent="0.25">
      <c r="A1443">
        <v>56</v>
      </c>
      <c r="B1443" t="str">
        <f t="shared" si="22"/>
        <v>55+</v>
      </c>
      <c r="C1443" t="s">
        <v>21</v>
      </c>
      <c r="F1443" t="s">
        <v>30</v>
      </c>
      <c r="G1443">
        <v>667</v>
      </c>
      <c r="H1443" t="s">
        <v>23</v>
      </c>
      <c r="I1443">
        <v>1</v>
      </c>
      <c r="J1443">
        <v>4</v>
      </c>
      <c r="K1443" t="s">
        <v>19</v>
      </c>
      <c r="L1443">
        <v>1</v>
      </c>
      <c r="M1443">
        <v>2026</v>
      </c>
      <c r="O1443">
        <v>3</v>
      </c>
      <c r="P1443">
        <v>2</v>
      </c>
      <c r="Q1443" t="s">
        <v>29</v>
      </c>
      <c r="R1443">
        <v>3</v>
      </c>
      <c r="S1443">
        <v>6306</v>
      </c>
      <c r="T1443" t="s">
        <v>21</v>
      </c>
    </row>
    <row r="1444" spans="1:20" x14ac:dyDescent="0.25">
      <c r="A1444">
        <v>29</v>
      </c>
      <c r="B1444" t="str">
        <f t="shared" si="22"/>
        <v>25-34</v>
      </c>
      <c r="C1444" t="s">
        <v>16</v>
      </c>
      <c r="F1444" t="s">
        <v>17</v>
      </c>
      <c r="G1444">
        <v>1092</v>
      </c>
      <c r="H1444" t="s">
        <v>23</v>
      </c>
      <c r="I1444">
        <v>1</v>
      </c>
      <c r="J1444">
        <v>4</v>
      </c>
      <c r="K1444" t="s">
        <v>27</v>
      </c>
      <c r="L1444">
        <v>1</v>
      </c>
      <c r="M1444">
        <v>2027</v>
      </c>
      <c r="O1444">
        <v>1</v>
      </c>
      <c r="P1444">
        <v>1</v>
      </c>
      <c r="Q1444" t="s">
        <v>24</v>
      </c>
      <c r="R1444">
        <v>4</v>
      </c>
      <c r="S1444">
        <v>4787</v>
      </c>
      <c r="T1444" t="s">
        <v>16</v>
      </c>
    </row>
    <row r="1445" spans="1:20" x14ac:dyDescent="0.25">
      <c r="A1445">
        <v>42</v>
      </c>
      <c r="B1445" t="str">
        <f t="shared" si="22"/>
        <v>35-44</v>
      </c>
      <c r="C1445" t="s">
        <v>21</v>
      </c>
      <c r="F1445" t="s">
        <v>17</v>
      </c>
      <c r="G1445">
        <v>300</v>
      </c>
      <c r="H1445" t="s">
        <v>23</v>
      </c>
      <c r="I1445">
        <v>2</v>
      </c>
      <c r="J1445">
        <v>3</v>
      </c>
      <c r="K1445" t="s">
        <v>19</v>
      </c>
      <c r="L1445">
        <v>1</v>
      </c>
      <c r="M1445">
        <v>2031</v>
      </c>
      <c r="O1445">
        <v>1</v>
      </c>
      <c r="P1445">
        <v>5</v>
      </c>
      <c r="Q1445" t="s">
        <v>31</v>
      </c>
      <c r="R1445">
        <v>3</v>
      </c>
      <c r="S1445">
        <v>18880</v>
      </c>
      <c r="T1445" t="s">
        <v>21</v>
      </c>
    </row>
    <row r="1446" spans="1:20" x14ac:dyDescent="0.25">
      <c r="A1446">
        <v>56</v>
      </c>
      <c r="B1446" t="str">
        <f t="shared" si="22"/>
        <v>55+</v>
      </c>
      <c r="C1446" t="s">
        <v>16</v>
      </c>
      <c r="F1446" t="s">
        <v>17</v>
      </c>
      <c r="G1446">
        <v>310</v>
      </c>
      <c r="H1446" t="s">
        <v>23</v>
      </c>
      <c r="I1446">
        <v>7</v>
      </c>
      <c r="J1446">
        <v>2</v>
      </c>
      <c r="K1446" t="s">
        <v>35</v>
      </c>
      <c r="L1446">
        <v>1</v>
      </c>
      <c r="M1446">
        <v>2032</v>
      </c>
      <c r="O1446">
        <v>4</v>
      </c>
      <c r="P1446">
        <v>1</v>
      </c>
      <c r="Q1446" t="s">
        <v>26</v>
      </c>
      <c r="R1446">
        <v>3</v>
      </c>
      <c r="S1446">
        <v>2339</v>
      </c>
      <c r="T1446" t="s">
        <v>21</v>
      </c>
    </row>
    <row r="1447" spans="1:20" x14ac:dyDescent="0.25">
      <c r="A1447">
        <v>41</v>
      </c>
      <c r="B1447" t="str">
        <f t="shared" si="22"/>
        <v>35-44</v>
      </c>
      <c r="C1447" t="s">
        <v>21</v>
      </c>
      <c r="F1447" t="s">
        <v>17</v>
      </c>
      <c r="G1447">
        <v>582</v>
      </c>
      <c r="H1447" t="s">
        <v>23</v>
      </c>
      <c r="I1447">
        <v>28</v>
      </c>
      <c r="J1447">
        <v>4</v>
      </c>
      <c r="K1447" t="s">
        <v>19</v>
      </c>
      <c r="L1447">
        <v>1</v>
      </c>
      <c r="M1447">
        <v>2034</v>
      </c>
      <c r="O1447">
        <v>1</v>
      </c>
      <c r="P1447">
        <v>4</v>
      </c>
      <c r="Q1447" t="s">
        <v>28</v>
      </c>
      <c r="R1447">
        <v>2</v>
      </c>
      <c r="S1447">
        <v>13570</v>
      </c>
      <c r="T1447" t="s">
        <v>21</v>
      </c>
    </row>
    <row r="1448" spans="1:20" x14ac:dyDescent="0.25">
      <c r="A1448">
        <v>34</v>
      </c>
      <c r="B1448" t="str">
        <f t="shared" si="22"/>
        <v>25-34</v>
      </c>
      <c r="C1448" t="s">
        <v>21</v>
      </c>
      <c r="F1448" t="s">
        <v>17</v>
      </c>
      <c r="G1448">
        <v>704</v>
      </c>
      <c r="H1448" t="s">
        <v>18</v>
      </c>
      <c r="I1448">
        <v>28</v>
      </c>
      <c r="J1448">
        <v>3</v>
      </c>
      <c r="K1448" t="s">
        <v>34</v>
      </c>
      <c r="L1448">
        <v>1</v>
      </c>
      <c r="M1448">
        <v>2035</v>
      </c>
      <c r="O1448">
        <v>4</v>
      </c>
      <c r="P1448">
        <v>2</v>
      </c>
      <c r="Q1448" t="s">
        <v>20</v>
      </c>
      <c r="R1448">
        <v>3</v>
      </c>
      <c r="S1448">
        <v>6712</v>
      </c>
      <c r="T1448" t="s">
        <v>21</v>
      </c>
    </row>
    <row r="1449" spans="1:20" x14ac:dyDescent="0.25">
      <c r="A1449">
        <v>36</v>
      </c>
      <c r="B1449" t="str">
        <f t="shared" si="22"/>
        <v>35-44</v>
      </c>
      <c r="C1449" t="s">
        <v>21</v>
      </c>
      <c r="F1449" t="s">
        <v>30</v>
      </c>
      <c r="G1449">
        <v>301</v>
      </c>
      <c r="H1449" t="s">
        <v>18</v>
      </c>
      <c r="I1449">
        <v>15</v>
      </c>
      <c r="J1449">
        <v>4</v>
      </c>
      <c r="K1449" t="s">
        <v>34</v>
      </c>
      <c r="L1449">
        <v>1</v>
      </c>
      <c r="M1449">
        <v>2036</v>
      </c>
      <c r="O1449">
        <v>4</v>
      </c>
      <c r="P1449">
        <v>2</v>
      </c>
      <c r="Q1449" t="s">
        <v>20</v>
      </c>
      <c r="R1449">
        <v>4</v>
      </c>
      <c r="S1449">
        <v>5406</v>
      </c>
      <c r="T1449" t="s">
        <v>21</v>
      </c>
    </row>
    <row r="1450" spans="1:20" x14ac:dyDescent="0.25">
      <c r="A1450">
        <v>41</v>
      </c>
      <c r="B1450" t="str">
        <f t="shared" si="22"/>
        <v>35-44</v>
      </c>
      <c r="C1450" t="s">
        <v>21</v>
      </c>
      <c r="F1450" t="s">
        <v>17</v>
      </c>
      <c r="G1450">
        <v>930</v>
      </c>
      <c r="H1450" t="s">
        <v>18</v>
      </c>
      <c r="I1450">
        <v>3</v>
      </c>
      <c r="J1450">
        <v>3</v>
      </c>
      <c r="K1450" t="s">
        <v>19</v>
      </c>
      <c r="L1450">
        <v>1</v>
      </c>
      <c r="M1450">
        <v>2037</v>
      </c>
      <c r="O1450">
        <v>3</v>
      </c>
      <c r="P1450">
        <v>2</v>
      </c>
      <c r="Q1450" t="s">
        <v>20</v>
      </c>
      <c r="R1450">
        <v>2</v>
      </c>
      <c r="S1450">
        <v>8938</v>
      </c>
      <c r="T1450" t="s">
        <v>21</v>
      </c>
    </row>
    <row r="1451" spans="1:20" x14ac:dyDescent="0.25">
      <c r="A1451">
        <v>32</v>
      </c>
      <c r="B1451" t="str">
        <f t="shared" si="22"/>
        <v>25-34</v>
      </c>
      <c r="C1451" t="s">
        <v>21</v>
      </c>
      <c r="F1451" t="s">
        <v>17</v>
      </c>
      <c r="G1451">
        <v>529</v>
      </c>
      <c r="H1451" t="s">
        <v>23</v>
      </c>
      <c r="I1451">
        <v>2</v>
      </c>
      <c r="J1451">
        <v>3</v>
      </c>
      <c r="K1451" t="s">
        <v>35</v>
      </c>
      <c r="L1451">
        <v>1</v>
      </c>
      <c r="M1451">
        <v>2038</v>
      </c>
      <c r="O1451">
        <v>4</v>
      </c>
      <c r="P1451">
        <v>1</v>
      </c>
      <c r="Q1451" t="s">
        <v>24</v>
      </c>
      <c r="R1451">
        <v>1</v>
      </c>
      <c r="S1451">
        <v>2439</v>
      </c>
      <c r="T1451" t="s">
        <v>21</v>
      </c>
    </row>
    <row r="1452" spans="1:20" x14ac:dyDescent="0.25">
      <c r="A1452">
        <v>35</v>
      </c>
      <c r="B1452" t="str">
        <f t="shared" si="22"/>
        <v>35-44</v>
      </c>
      <c r="C1452" t="s">
        <v>21</v>
      </c>
      <c r="F1452" t="s">
        <v>17</v>
      </c>
      <c r="G1452">
        <v>1146</v>
      </c>
      <c r="H1452" t="s">
        <v>36</v>
      </c>
      <c r="I1452">
        <v>26</v>
      </c>
      <c r="J1452">
        <v>4</v>
      </c>
      <c r="K1452" t="s">
        <v>19</v>
      </c>
      <c r="L1452">
        <v>1</v>
      </c>
      <c r="M1452">
        <v>2040</v>
      </c>
      <c r="O1452">
        <v>3</v>
      </c>
      <c r="P1452">
        <v>3</v>
      </c>
      <c r="Q1452" t="s">
        <v>36</v>
      </c>
      <c r="R1452">
        <v>4</v>
      </c>
      <c r="S1452">
        <v>8837</v>
      </c>
      <c r="T1452" t="s">
        <v>16</v>
      </c>
    </row>
    <row r="1453" spans="1:20" x14ac:dyDescent="0.25">
      <c r="A1453">
        <v>38</v>
      </c>
      <c r="B1453" t="str">
        <f t="shared" si="22"/>
        <v>35-44</v>
      </c>
      <c r="C1453" t="s">
        <v>21</v>
      </c>
      <c r="F1453" t="s">
        <v>17</v>
      </c>
      <c r="G1453">
        <v>345</v>
      </c>
      <c r="H1453" t="s">
        <v>18</v>
      </c>
      <c r="I1453">
        <v>10</v>
      </c>
      <c r="J1453">
        <v>2</v>
      </c>
      <c r="K1453" t="s">
        <v>19</v>
      </c>
      <c r="L1453">
        <v>1</v>
      </c>
      <c r="M1453">
        <v>2041</v>
      </c>
      <c r="O1453">
        <v>1</v>
      </c>
      <c r="P1453">
        <v>2</v>
      </c>
      <c r="Q1453" t="s">
        <v>20</v>
      </c>
      <c r="R1453">
        <v>4</v>
      </c>
      <c r="S1453">
        <v>5343</v>
      </c>
      <c r="T1453" t="s">
        <v>21</v>
      </c>
    </row>
    <row r="1454" spans="1:20" x14ac:dyDescent="0.25">
      <c r="A1454">
        <v>50</v>
      </c>
      <c r="B1454" t="str">
        <f t="shared" si="22"/>
        <v>45-54</v>
      </c>
      <c r="C1454" t="s">
        <v>16</v>
      </c>
      <c r="F1454" t="s">
        <v>22</v>
      </c>
      <c r="G1454">
        <v>878</v>
      </c>
      <c r="H1454" t="s">
        <v>18</v>
      </c>
      <c r="I1454">
        <v>1</v>
      </c>
      <c r="J1454">
        <v>4</v>
      </c>
      <c r="K1454" t="s">
        <v>19</v>
      </c>
      <c r="L1454">
        <v>1</v>
      </c>
      <c r="M1454">
        <v>2044</v>
      </c>
      <c r="O1454">
        <v>2</v>
      </c>
      <c r="P1454">
        <v>2</v>
      </c>
      <c r="Q1454" t="s">
        <v>20</v>
      </c>
      <c r="R1454">
        <v>3</v>
      </c>
      <c r="S1454">
        <v>6728</v>
      </c>
      <c r="T1454" t="s">
        <v>21</v>
      </c>
    </row>
    <row r="1455" spans="1:20" x14ac:dyDescent="0.25">
      <c r="A1455">
        <v>36</v>
      </c>
      <c r="B1455" t="str">
        <f t="shared" si="22"/>
        <v>35-44</v>
      </c>
      <c r="C1455" t="s">
        <v>21</v>
      </c>
      <c r="F1455" t="s">
        <v>17</v>
      </c>
      <c r="G1455">
        <v>1120</v>
      </c>
      <c r="H1455" t="s">
        <v>18</v>
      </c>
      <c r="I1455">
        <v>11</v>
      </c>
      <c r="J1455">
        <v>4</v>
      </c>
      <c r="K1455" t="s">
        <v>34</v>
      </c>
      <c r="L1455">
        <v>1</v>
      </c>
      <c r="M1455">
        <v>2045</v>
      </c>
      <c r="O1455">
        <v>2</v>
      </c>
      <c r="P1455">
        <v>2</v>
      </c>
      <c r="Q1455" t="s">
        <v>20</v>
      </c>
      <c r="R1455">
        <v>4</v>
      </c>
      <c r="S1455">
        <v>6652</v>
      </c>
      <c r="T1455" t="s">
        <v>21</v>
      </c>
    </row>
    <row r="1456" spans="1:20" x14ac:dyDescent="0.25">
      <c r="A1456">
        <v>45</v>
      </c>
      <c r="B1456" t="str">
        <f t="shared" si="22"/>
        <v>45-54</v>
      </c>
      <c r="C1456" t="s">
        <v>21</v>
      </c>
      <c r="F1456" t="s">
        <v>17</v>
      </c>
      <c r="G1456">
        <v>374</v>
      </c>
      <c r="H1456" t="s">
        <v>18</v>
      </c>
      <c r="I1456">
        <v>20</v>
      </c>
      <c r="J1456">
        <v>3</v>
      </c>
      <c r="K1456" t="s">
        <v>19</v>
      </c>
      <c r="L1456">
        <v>1</v>
      </c>
      <c r="M1456">
        <v>2046</v>
      </c>
      <c r="O1456">
        <v>4</v>
      </c>
      <c r="P1456">
        <v>2</v>
      </c>
      <c r="Q1456" t="s">
        <v>20</v>
      </c>
      <c r="R1456">
        <v>3</v>
      </c>
      <c r="S1456">
        <v>4850</v>
      </c>
      <c r="T1456" t="s">
        <v>21</v>
      </c>
    </row>
    <row r="1457" spans="1:20" x14ac:dyDescent="0.25">
      <c r="A1457">
        <v>40</v>
      </c>
      <c r="B1457" t="str">
        <f t="shared" si="22"/>
        <v>35-44</v>
      </c>
      <c r="C1457" t="s">
        <v>21</v>
      </c>
      <c r="F1457" t="s">
        <v>17</v>
      </c>
      <c r="G1457">
        <v>1322</v>
      </c>
      <c r="H1457" t="s">
        <v>23</v>
      </c>
      <c r="I1457">
        <v>2</v>
      </c>
      <c r="J1457">
        <v>4</v>
      </c>
      <c r="K1457" t="s">
        <v>19</v>
      </c>
      <c r="L1457">
        <v>1</v>
      </c>
      <c r="M1457">
        <v>2048</v>
      </c>
      <c r="O1457">
        <v>3</v>
      </c>
      <c r="P1457">
        <v>1</v>
      </c>
      <c r="Q1457" t="s">
        <v>24</v>
      </c>
      <c r="R1457">
        <v>3</v>
      </c>
      <c r="S1457">
        <v>2809</v>
      </c>
      <c r="T1457" t="s">
        <v>21</v>
      </c>
    </row>
    <row r="1458" spans="1:20" x14ac:dyDescent="0.25">
      <c r="A1458">
        <v>35</v>
      </c>
      <c r="B1458" t="str">
        <f t="shared" si="22"/>
        <v>35-44</v>
      </c>
      <c r="C1458" t="s">
        <v>21</v>
      </c>
      <c r="F1458" t="s">
        <v>22</v>
      </c>
      <c r="G1458">
        <v>1199</v>
      </c>
      <c r="H1458" t="s">
        <v>23</v>
      </c>
      <c r="I1458">
        <v>18</v>
      </c>
      <c r="J1458">
        <v>4</v>
      </c>
      <c r="K1458" t="s">
        <v>19</v>
      </c>
      <c r="L1458">
        <v>1</v>
      </c>
      <c r="M1458">
        <v>2049</v>
      </c>
      <c r="O1458">
        <v>3</v>
      </c>
      <c r="P1458">
        <v>2</v>
      </c>
      <c r="Q1458" t="s">
        <v>29</v>
      </c>
      <c r="R1458">
        <v>3</v>
      </c>
      <c r="S1458">
        <v>5689</v>
      </c>
      <c r="T1458" t="s">
        <v>16</v>
      </c>
    </row>
    <row r="1459" spans="1:20" x14ac:dyDescent="0.25">
      <c r="A1459">
        <v>40</v>
      </c>
      <c r="B1459" t="str">
        <f t="shared" si="22"/>
        <v>35-44</v>
      </c>
      <c r="C1459" t="s">
        <v>21</v>
      </c>
      <c r="F1459" t="s">
        <v>17</v>
      </c>
      <c r="G1459">
        <v>1194</v>
      </c>
      <c r="H1459" t="s">
        <v>23</v>
      </c>
      <c r="I1459">
        <v>2</v>
      </c>
      <c r="J1459">
        <v>4</v>
      </c>
      <c r="K1459" t="s">
        <v>27</v>
      </c>
      <c r="L1459">
        <v>1</v>
      </c>
      <c r="M1459">
        <v>2051</v>
      </c>
      <c r="O1459">
        <v>3</v>
      </c>
      <c r="P1459">
        <v>1</v>
      </c>
      <c r="Q1459" t="s">
        <v>24</v>
      </c>
      <c r="R1459">
        <v>3</v>
      </c>
      <c r="S1459">
        <v>2001</v>
      </c>
      <c r="T1459" t="s">
        <v>21</v>
      </c>
    </row>
    <row r="1460" spans="1:20" x14ac:dyDescent="0.25">
      <c r="A1460">
        <v>35</v>
      </c>
      <c r="B1460" t="str">
        <f t="shared" si="22"/>
        <v>35-44</v>
      </c>
      <c r="C1460" t="s">
        <v>21</v>
      </c>
      <c r="F1460" t="s">
        <v>17</v>
      </c>
      <c r="G1460">
        <v>287</v>
      </c>
      <c r="H1460" t="s">
        <v>23</v>
      </c>
      <c r="I1460">
        <v>1</v>
      </c>
      <c r="J1460">
        <v>4</v>
      </c>
      <c r="K1460" t="s">
        <v>19</v>
      </c>
      <c r="L1460">
        <v>1</v>
      </c>
      <c r="M1460">
        <v>2052</v>
      </c>
      <c r="O1460">
        <v>3</v>
      </c>
      <c r="P1460">
        <v>1</v>
      </c>
      <c r="Q1460" t="s">
        <v>24</v>
      </c>
      <c r="R1460">
        <v>4</v>
      </c>
      <c r="S1460">
        <v>2977</v>
      </c>
      <c r="T1460" t="s">
        <v>21</v>
      </c>
    </row>
    <row r="1461" spans="1:20" x14ac:dyDescent="0.25">
      <c r="A1461">
        <v>29</v>
      </c>
      <c r="B1461" t="str">
        <f t="shared" si="22"/>
        <v>25-34</v>
      </c>
      <c r="C1461" t="s">
        <v>21</v>
      </c>
      <c r="F1461" t="s">
        <v>17</v>
      </c>
      <c r="G1461">
        <v>1378</v>
      </c>
      <c r="H1461" t="s">
        <v>23</v>
      </c>
      <c r="I1461">
        <v>13</v>
      </c>
      <c r="J1461">
        <v>2</v>
      </c>
      <c r="K1461" t="s">
        <v>25</v>
      </c>
      <c r="L1461">
        <v>1</v>
      </c>
      <c r="M1461">
        <v>2053</v>
      </c>
      <c r="O1461">
        <v>4</v>
      </c>
      <c r="P1461">
        <v>2</v>
      </c>
      <c r="Q1461" t="s">
        <v>26</v>
      </c>
      <c r="R1461">
        <v>2</v>
      </c>
      <c r="S1461">
        <v>4025</v>
      </c>
      <c r="T1461" t="s">
        <v>16</v>
      </c>
    </row>
    <row r="1462" spans="1:20" x14ac:dyDescent="0.25">
      <c r="A1462">
        <v>29</v>
      </c>
      <c r="B1462" t="str">
        <f t="shared" si="22"/>
        <v>25-34</v>
      </c>
      <c r="C1462" t="s">
        <v>21</v>
      </c>
      <c r="F1462" t="s">
        <v>17</v>
      </c>
      <c r="G1462">
        <v>468</v>
      </c>
      <c r="H1462" t="s">
        <v>23</v>
      </c>
      <c r="I1462">
        <v>28</v>
      </c>
      <c r="J1462">
        <v>4</v>
      </c>
      <c r="K1462" t="s">
        <v>27</v>
      </c>
      <c r="L1462">
        <v>1</v>
      </c>
      <c r="M1462">
        <v>2054</v>
      </c>
      <c r="O1462">
        <v>4</v>
      </c>
      <c r="P1462">
        <v>1</v>
      </c>
      <c r="Q1462" t="s">
        <v>24</v>
      </c>
      <c r="R1462">
        <v>1</v>
      </c>
      <c r="S1462">
        <v>3785</v>
      </c>
      <c r="T1462" t="s">
        <v>21</v>
      </c>
    </row>
    <row r="1463" spans="1:20" x14ac:dyDescent="0.25">
      <c r="A1463">
        <v>50</v>
      </c>
      <c r="B1463" t="str">
        <f t="shared" si="22"/>
        <v>45-54</v>
      </c>
      <c r="C1463" t="s">
        <v>16</v>
      </c>
      <c r="F1463" t="s">
        <v>17</v>
      </c>
      <c r="G1463">
        <v>410</v>
      </c>
      <c r="H1463" t="s">
        <v>18</v>
      </c>
      <c r="I1463">
        <v>28</v>
      </c>
      <c r="J1463">
        <v>3</v>
      </c>
      <c r="K1463" t="s">
        <v>34</v>
      </c>
      <c r="L1463">
        <v>1</v>
      </c>
      <c r="M1463">
        <v>2055</v>
      </c>
      <c r="O1463">
        <v>4</v>
      </c>
      <c r="P1463">
        <v>3</v>
      </c>
      <c r="Q1463" t="s">
        <v>20</v>
      </c>
      <c r="R1463">
        <v>1</v>
      </c>
      <c r="S1463">
        <v>10854</v>
      </c>
      <c r="T1463" t="s">
        <v>16</v>
      </c>
    </row>
    <row r="1464" spans="1:20" x14ac:dyDescent="0.25">
      <c r="A1464">
        <v>39</v>
      </c>
      <c r="B1464" t="str">
        <f t="shared" si="22"/>
        <v>35-44</v>
      </c>
      <c r="C1464" t="s">
        <v>21</v>
      </c>
      <c r="F1464" t="s">
        <v>17</v>
      </c>
      <c r="G1464">
        <v>722</v>
      </c>
      <c r="H1464" t="s">
        <v>18</v>
      </c>
      <c r="I1464">
        <v>24</v>
      </c>
      <c r="J1464">
        <v>1</v>
      </c>
      <c r="K1464" t="s">
        <v>34</v>
      </c>
      <c r="L1464">
        <v>1</v>
      </c>
      <c r="M1464">
        <v>2056</v>
      </c>
      <c r="O1464">
        <v>2</v>
      </c>
      <c r="P1464">
        <v>4</v>
      </c>
      <c r="Q1464" t="s">
        <v>20</v>
      </c>
      <c r="R1464">
        <v>4</v>
      </c>
      <c r="S1464">
        <v>12031</v>
      </c>
      <c r="T1464" t="s">
        <v>21</v>
      </c>
    </row>
    <row r="1465" spans="1:20" x14ac:dyDescent="0.25">
      <c r="A1465">
        <v>31</v>
      </c>
      <c r="B1465" t="str">
        <f t="shared" si="22"/>
        <v>25-34</v>
      </c>
      <c r="C1465" t="s">
        <v>21</v>
      </c>
      <c r="F1465" t="s">
        <v>30</v>
      </c>
      <c r="G1465">
        <v>325</v>
      </c>
      <c r="H1465" t="s">
        <v>23</v>
      </c>
      <c r="I1465">
        <v>5</v>
      </c>
      <c r="J1465">
        <v>3</v>
      </c>
      <c r="K1465" t="s">
        <v>27</v>
      </c>
      <c r="L1465">
        <v>1</v>
      </c>
      <c r="M1465">
        <v>2057</v>
      </c>
      <c r="O1465">
        <v>2</v>
      </c>
      <c r="P1465">
        <v>2</v>
      </c>
      <c r="Q1465" t="s">
        <v>28</v>
      </c>
      <c r="R1465">
        <v>1</v>
      </c>
      <c r="S1465">
        <v>9936</v>
      </c>
      <c r="T1465" t="s">
        <v>21</v>
      </c>
    </row>
    <row r="1466" spans="1:20" x14ac:dyDescent="0.25">
      <c r="A1466">
        <v>26</v>
      </c>
      <c r="B1466" t="str">
        <f t="shared" si="22"/>
        <v>25-34</v>
      </c>
      <c r="C1466" t="s">
        <v>21</v>
      </c>
      <c r="F1466" t="s">
        <v>17</v>
      </c>
      <c r="G1466">
        <v>1167</v>
      </c>
      <c r="H1466" t="s">
        <v>18</v>
      </c>
      <c r="I1466">
        <v>5</v>
      </c>
      <c r="J1466">
        <v>3</v>
      </c>
      <c r="K1466" t="s">
        <v>25</v>
      </c>
      <c r="L1466">
        <v>1</v>
      </c>
      <c r="M1466">
        <v>2060</v>
      </c>
      <c r="O1466">
        <v>4</v>
      </c>
      <c r="P1466">
        <v>1</v>
      </c>
      <c r="Q1466" t="s">
        <v>32</v>
      </c>
      <c r="R1466">
        <v>3</v>
      </c>
      <c r="S1466">
        <v>2966</v>
      </c>
      <c r="T1466" t="s">
        <v>21</v>
      </c>
    </row>
    <row r="1467" spans="1:20" x14ac:dyDescent="0.25">
      <c r="A1467">
        <v>36</v>
      </c>
      <c r="B1467" t="str">
        <f t="shared" si="22"/>
        <v>35-44</v>
      </c>
      <c r="C1467" t="s">
        <v>21</v>
      </c>
      <c r="F1467" t="s">
        <v>22</v>
      </c>
      <c r="G1467">
        <v>884</v>
      </c>
      <c r="H1467" t="s">
        <v>23</v>
      </c>
      <c r="I1467">
        <v>23</v>
      </c>
      <c r="J1467">
        <v>2</v>
      </c>
      <c r="K1467" t="s">
        <v>27</v>
      </c>
      <c r="L1467">
        <v>1</v>
      </c>
      <c r="M1467">
        <v>2061</v>
      </c>
      <c r="O1467">
        <v>3</v>
      </c>
      <c r="P1467">
        <v>2</v>
      </c>
      <c r="Q1467" t="s">
        <v>26</v>
      </c>
      <c r="R1467">
        <v>4</v>
      </c>
      <c r="S1467">
        <v>2571</v>
      </c>
      <c r="T1467" t="s">
        <v>21</v>
      </c>
    </row>
    <row r="1468" spans="1:20" x14ac:dyDescent="0.25">
      <c r="A1468">
        <v>39</v>
      </c>
      <c r="B1468" t="str">
        <f t="shared" si="22"/>
        <v>35-44</v>
      </c>
      <c r="C1468" t="s">
        <v>21</v>
      </c>
      <c r="F1468" t="s">
        <v>17</v>
      </c>
      <c r="G1468">
        <v>613</v>
      </c>
      <c r="H1468" t="s">
        <v>23</v>
      </c>
      <c r="I1468">
        <v>6</v>
      </c>
      <c r="J1468">
        <v>1</v>
      </c>
      <c r="K1468" t="s">
        <v>27</v>
      </c>
      <c r="L1468">
        <v>1</v>
      </c>
      <c r="M1468">
        <v>2062</v>
      </c>
      <c r="O1468">
        <v>4</v>
      </c>
      <c r="P1468">
        <v>3</v>
      </c>
      <c r="Q1468" t="s">
        <v>29</v>
      </c>
      <c r="R1468">
        <v>1</v>
      </c>
      <c r="S1468">
        <v>9991</v>
      </c>
      <c r="T1468" t="s">
        <v>21</v>
      </c>
    </row>
    <row r="1469" spans="1:20" x14ac:dyDescent="0.25">
      <c r="A1469">
        <v>27</v>
      </c>
      <c r="B1469" t="str">
        <f t="shared" si="22"/>
        <v>25-34</v>
      </c>
      <c r="C1469" t="s">
        <v>21</v>
      </c>
      <c r="F1469" t="s">
        <v>17</v>
      </c>
      <c r="G1469">
        <v>155</v>
      </c>
      <c r="H1469" t="s">
        <v>23</v>
      </c>
      <c r="I1469">
        <v>4</v>
      </c>
      <c r="J1469">
        <v>3</v>
      </c>
      <c r="K1469" t="s">
        <v>19</v>
      </c>
      <c r="L1469">
        <v>1</v>
      </c>
      <c r="M1469">
        <v>2064</v>
      </c>
      <c r="O1469">
        <v>2</v>
      </c>
      <c r="P1469">
        <v>2</v>
      </c>
      <c r="Q1469" t="s">
        <v>28</v>
      </c>
      <c r="R1469">
        <v>2</v>
      </c>
      <c r="S1469">
        <v>6142</v>
      </c>
      <c r="T1469" t="s">
        <v>16</v>
      </c>
    </row>
    <row r="1470" spans="1:20" x14ac:dyDescent="0.25">
      <c r="A1470">
        <v>49</v>
      </c>
      <c r="B1470" t="str">
        <f t="shared" si="22"/>
        <v>45-54</v>
      </c>
      <c r="C1470" t="s">
        <v>21</v>
      </c>
      <c r="F1470" t="s">
        <v>22</v>
      </c>
      <c r="G1470">
        <v>1023</v>
      </c>
      <c r="H1470" t="s">
        <v>18</v>
      </c>
      <c r="I1470">
        <v>2</v>
      </c>
      <c r="J1470">
        <v>3</v>
      </c>
      <c r="K1470" t="s">
        <v>27</v>
      </c>
      <c r="L1470">
        <v>1</v>
      </c>
      <c r="M1470">
        <v>2065</v>
      </c>
      <c r="O1470">
        <v>4</v>
      </c>
      <c r="P1470">
        <v>2</v>
      </c>
      <c r="Q1470" t="s">
        <v>20</v>
      </c>
      <c r="R1470">
        <v>2</v>
      </c>
      <c r="S1470">
        <v>5390</v>
      </c>
      <c r="T1470" t="s">
        <v>21</v>
      </c>
    </row>
    <row r="1471" spans="1:20" x14ac:dyDescent="0.25">
      <c r="A1471">
        <v>34</v>
      </c>
      <c r="B1471" t="str">
        <f t="shared" si="22"/>
        <v>25-34</v>
      </c>
      <c r="C1471" t="s">
        <v>21</v>
      </c>
      <c r="F1471" t="s">
        <v>17</v>
      </c>
      <c r="G1471">
        <v>628</v>
      </c>
      <c r="H1471" t="s">
        <v>23</v>
      </c>
      <c r="I1471">
        <v>8</v>
      </c>
      <c r="J1471">
        <v>3</v>
      </c>
      <c r="K1471" t="s">
        <v>27</v>
      </c>
      <c r="L1471">
        <v>1</v>
      </c>
      <c r="M1471">
        <v>2068</v>
      </c>
      <c r="O1471">
        <v>2</v>
      </c>
      <c r="P1471">
        <v>2</v>
      </c>
      <c r="Q1471" t="s">
        <v>26</v>
      </c>
      <c r="R1471">
        <v>3</v>
      </c>
      <c r="S1471">
        <v>4404</v>
      </c>
      <c r="T1471" t="s">
        <v>21</v>
      </c>
    </row>
  </sheetData>
  <autoFilter ref="A1:T1" xr:uid="{8C1BC080-9AB3-4EF6-99CA-FCCAABB3EBCB}"/>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F767D4-966F-4509-A712-A1CDF449ADC3}">
  <dimension ref="A1"/>
  <sheetViews>
    <sheetView showGridLines="0" zoomScale="75" zoomScaleNormal="75" workbookViewId="0">
      <selection activeCell="Y17" sqref="Y17"/>
    </sheetView>
  </sheetViews>
  <sheetFormatPr defaultRowHeight="15" x14ac:dyDescent="0.25"/>
  <cols>
    <col min="1" max="16384" width="9.14062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 table 2</vt:lpstr>
      <vt:lpstr>pivot table 1</vt:lpstr>
      <vt:lpstr>HR 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taiwo hamza</cp:lastModifiedBy>
  <dcterms:created xsi:type="dcterms:W3CDTF">2026-06-11T16:28:18Z</dcterms:created>
  <dcterms:modified xsi:type="dcterms:W3CDTF">2026-06-29T14:49:26Z</dcterms:modified>
</cp:coreProperties>
</file>